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atsuro80/Library/Mobile Documents/com~apple~CloudDocs/Desktop/Project/Tanioka19_Metaanalysis/Manuscript/Biogeosciences/META_Manuscript_2ndsubmit/Data_codes_for_repository/new_database/"/>
    </mc:Choice>
  </mc:AlternateContent>
  <xr:revisionPtr revIDLastSave="0" documentId="13_ncr:1_{66475409-6778-5C43-8710-ED0588B2A182}" xr6:coauthVersionLast="36" xr6:coauthVersionMax="36" xr10:uidLastSave="{00000000-0000-0000-0000-000000000000}"/>
  <bookViews>
    <workbookView xWindow="680" yWindow="460" windowWidth="24240" windowHeight="13900" xr2:uid="{5EB864D4-3C55-8449-9ADE-7A48DB21D1C4}"/>
  </bookViews>
  <sheets>
    <sheet name="README" sheetId="2" r:id="rId1"/>
    <sheet name="P" sheetId="3" r:id="rId2"/>
    <sheet name="N" sheetId="4" r:id="rId3"/>
    <sheet name="Fe" sheetId="6" r:id="rId4"/>
    <sheet name="I" sheetId="7" r:id="rId5"/>
    <sheet name="T" sheetId="5" r:id="rId6"/>
    <sheet name="Bibliography" sheetId="8" r:id="rId7"/>
  </sheets>
  <definedNames>
    <definedName name="_xlnm._FilterDatabase" localSheetId="6" hidden="1">Bibliography!$A$1:$F$1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5" l="1"/>
  <c r="M53" i="5"/>
  <c r="M54" i="5"/>
  <c r="M55" i="5"/>
  <c r="M56" i="5"/>
  <c r="M57" i="5"/>
  <c r="M58" i="5"/>
  <c r="M59" i="5"/>
  <c r="M60" i="5"/>
  <c r="M61" i="5"/>
  <c r="M62" i="5"/>
  <c r="M63" i="5"/>
  <c r="M51" i="5"/>
  <c r="J52" i="5"/>
  <c r="J53" i="5"/>
  <c r="J54" i="5"/>
  <c r="J55" i="5"/>
  <c r="J56" i="5"/>
  <c r="J57" i="5"/>
  <c r="J58" i="5"/>
  <c r="J59" i="5"/>
  <c r="J60" i="5"/>
  <c r="J61" i="5"/>
  <c r="J62" i="5"/>
  <c r="J63" i="5"/>
  <c r="J51" i="5"/>
  <c r="M27" i="5"/>
  <c r="H53" i="3" l="1"/>
  <c r="H52" i="3"/>
  <c r="M160" i="5" l="1"/>
  <c r="J160" i="5"/>
  <c r="M159" i="5"/>
  <c r="J159" i="5"/>
  <c r="M158" i="5" l="1"/>
  <c r="J158" i="5"/>
  <c r="M157" i="5"/>
  <c r="J157" i="5"/>
  <c r="M121" i="7" l="1"/>
  <c r="J121" i="7"/>
  <c r="M120" i="7"/>
  <c r="J120" i="7"/>
  <c r="M86" i="4"/>
  <c r="M85" i="4"/>
  <c r="M84" i="4"/>
  <c r="M83" i="4"/>
  <c r="M82" i="4"/>
  <c r="M81" i="4"/>
  <c r="M80" i="4"/>
  <c r="J86" i="4"/>
  <c r="J85" i="4"/>
  <c r="J84" i="4"/>
  <c r="J83" i="4"/>
  <c r="J82" i="4"/>
  <c r="J81" i="4"/>
  <c r="J80" i="4"/>
  <c r="M79" i="4" l="1"/>
  <c r="J79" i="4"/>
  <c r="M148" i="5" l="1"/>
  <c r="J148" i="5"/>
  <c r="M147" i="5"/>
  <c r="J147" i="5"/>
  <c r="I74" i="4" l="1"/>
  <c r="J74" i="4"/>
  <c r="L74" i="4"/>
  <c r="M74" i="4"/>
  <c r="M110" i="7" l="1"/>
  <c r="J110" i="7"/>
  <c r="M109" i="7" l="1"/>
  <c r="J109" i="7"/>
  <c r="M108" i="7"/>
  <c r="J108" i="7"/>
  <c r="M107" i="7"/>
  <c r="J107" i="7"/>
  <c r="M106" i="7"/>
  <c r="J106" i="7"/>
  <c r="M105" i="7"/>
  <c r="J105" i="7"/>
  <c r="M104" i="7"/>
  <c r="J104" i="7"/>
  <c r="M103" i="7"/>
  <c r="J103" i="7"/>
  <c r="M102" i="7"/>
  <c r="J102" i="7"/>
  <c r="M101" i="7"/>
  <c r="J101" i="7"/>
  <c r="M100" i="7"/>
  <c r="J100" i="7"/>
  <c r="M99" i="7"/>
  <c r="J99" i="7"/>
  <c r="M98" i="7"/>
  <c r="J98" i="7"/>
  <c r="M97" i="7"/>
  <c r="J97" i="7"/>
  <c r="M96" i="7"/>
  <c r="J96" i="7"/>
  <c r="M95" i="7"/>
  <c r="J95" i="7"/>
  <c r="M94" i="7"/>
  <c r="J94" i="7"/>
  <c r="M61" i="4"/>
  <c r="J61" i="4"/>
  <c r="M60" i="4"/>
  <c r="J60" i="4"/>
  <c r="M59" i="4"/>
  <c r="J59" i="4"/>
  <c r="M58" i="4"/>
  <c r="J58" i="4"/>
  <c r="M57" i="4"/>
  <c r="J57" i="4"/>
  <c r="M56" i="4"/>
  <c r="J56" i="4"/>
  <c r="M55" i="4"/>
  <c r="M54" i="4"/>
  <c r="M53" i="4"/>
  <c r="M52" i="4"/>
  <c r="J55" i="4"/>
  <c r="J54" i="4"/>
  <c r="J53" i="4"/>
  <c r="J52" i="4"/>
  <c r="M51" i="4"/>
  <c r="M50" i="4"/>
  <c r="J51" i="4"/>
  <c r="J50" i="4"/>
  <c r="M91" i="7" l="1"/>
  <c r="L91" i="7"/>
  <c r="J91" i="7"/>
  <c r="I91" i="7"/>
  <c r="M90" i="7"/>
  <c r="L90" i="7"/>
  <c r="J90" i="7"/>
  <c r="I90" i="7"/>
  <c r="J110" i="5"/>
  <c r="J109" i="5"/>
  <c r="M110" i="5"/>
  <c r="L110" i="5"/>
  <c r="I110" i="5"/>
  <c r="I109" i="5"/>
  <c r="M108" i="5" l="1"/>
  <c r="J108" i="5"/>
  <c r="M107" i="5"/>
  <c r="J107" i="5"/>
  <c r="M106" i="5"/>
  <c r="J106" i="5"/>
  <c r="M105" i="5"/>
  <c r="J105" i="5"/>
  <c r="M103" i="5"/>
  <c r="J103" i="5"/>
  <c r="M104" i="5"/>
  <c r="J104" i="5"/>
  <c r="M86" i="7"/>
  <c r="J86" i="7"/>
  <c r="M87" i="7"/>
  <c r="J87" i="7"/>
  <c r="M82" i="7" l="1"/>
  <c r="J82" i="7"/>
  <c r="M81" i="7"/>
  <c r="J81" i="7"/>
  <c r="M80" i="7"/>
  <c r="J80" i="7"/>
  <c r="M79" i="7"/>
  <c r="J79" i="7"/>
  <c r="M102" i="5" l="1"/>
  <c r="J102" i="5"/>
  <c r="M101" i="5"/>
  <c r="J101" i="5"/>
  <c r="M100" i="5"/>
  <c r="J100" i="5"/>
  <c r="M99" i="5"/>
  <c r="J99" i="5"/>
  <c r="M98" i="5"/>
  <c r="J98" i="5"/>
  <c r="M97" i="5"/>
  <c r="J97" i="5"/>
  <c r="K56" i="6" l="1"/>
  <c r="H56" i="6"/>
  <c r="K55" i="6"/>
  <c r="H55" i="6"/>
  <c r="K54" i="6" l="1"/>
  <c r="H54" i="6"/>
  <c r="H53" i="6"/>
  <c r="K53" i="6"/>
  <c r="K52" i="6"/>
  <c r="H52" i="6"/>
  <c r="M78" i="7" l="1"/>
  <c r="L78" i="7"/>
  <c r="J78" i="7"/>
  <c r="I78" i="7"/>
  <c r="L77" i="7"/>
  <c r="J77" i="7"/>
  <c r="I77" i="7"/>
  <c r="M40" i="4"/>
  <c r="L40" i="4"/>
  <c r="J40" i="4"/>
  <c r="I40" i="4"/>
  <c r="M39" i="4"/>
  <c r="L39" i="4"/>
  <c r="J39" i="4"/>
  <c r="I39" i="4"/>
  <c r="M38" i="4"/>
  <c r="L38" i="4"/>
  <c r="J38" i="4"/>
  <c r="I38" i="4"/>
  <c r="H57" i="3" l="1"/>
  <c r="G57" i="3"/>
  <c r="H56" i="3"/>
  <c r="G56" i="3"/>
  <c r="H55" i="3"/>
  <c r="G55" i="3"/>
  <c r="G51" i="3" l="1"/>
  <c r="G52" i="3"/>
  <c r="G53" i="3"/>
  <c r="G50" i="3"/>
  <c r="H51" i="3"/>
  <c r="H50" i="3"/>
  <c r="H54" i="3"/>
  <c r="G54" i="3"/>
  <c r="J82" i="5" l="1"/>
  <c r="M83" i="5"/>
  <c r="M82" i="5"/>
  <c r="K38" i="6"/>
  <c r="H38" i="6"/>
  <c r="K37" i="6"/>
  <c r="H37" i="6"/>
  <c r="M28" i="7" l="1"/>
  <c r="J28" i="7"/>
  <c r="M27" i="7"/>
  <c r="J27" i="7"/>
  <c r="M26" i="7"/>
  <c r="J26" i="7"/>
  <c r="M25" i="7"/>
  <c r="J25" i="7"/>
  <c r="M19" i="3" l="1"/>
  <c r="J19" i="3"/>
  <c r="M18" i="3"/>
  <c r="J18" i="3"/>
  <c r="M17" i="3"/>
  <c r="J17" i="3"/>
  <c r="M16" i="3"/>
  <c r="J16" i="3"/>
  <c r="J27" i="5" l="1"/>
  <c r="I27" i="5"/>
  <c r="M3" i="7" l="1"/>
  <c r="J3" i="7"/>
  <c r="M2" i="7"/>
  <c r="J2" i="7"/>
</calcChain>
</file>

<file path=xl/sharedStrings.xml><?xml version="1.0" encoding="utf-8"?>
<sst xmlns="http://schemas.openxmlformats.org/spreadsheetml/2006/main" count="9518" uniqueCount="626">
  <si>
    <t xml:space="preserve">New Database for the 2nd round of peer-review for BG </t>
  </si>
  <si>
    <t>Include 2 level data</t>
  </si>
  <si>
    <t>Abbreviation</t>
  </si>
  <si>
    <t>Variable_1</t>
  </si>
  <si>
    <t>Variable_2</t>
  </si>
  <si>
    <t>Variable_3</t>
  </si>
  <si>
    <t>Variable_4</t>
  </si>
  <si>
    <t>Reference</t>
  </si>
  <si>
    <t>Mode</t>
  </si>
  <si>
    <t>Categorical variables</t>
  </si>
  <si>
    <t>Study</t>
  </si>
  <si>
    <t>Study abbreviation</t>
  </si>
  <si>
    <t>Species</t>
  </si>
  <si>
    <t>Name of the species</t>
  </si>
  <si>
    <t xml:space="preserve">PFT </t>
  </si>
  <si>
    <t>Phylum</t>
  </si>
  <si>
    <t>Phylum of plankton</t>
  </si>
  <si>
    <t>Xc</t>
  </si>
  <si>
    <t>Control value of X</t>
  </si>
  <si>
    <t>Xt</t>
  </si>
  <si>
    <t>Treatment value of X</t>
  </si>
  <si>
    <t>Yc</t>
  </si>
  <si>
    <t>Mean value of Y, control</t>
  </si>
  <si>
    <t>Sc</t>
  </si>
  <si>
    <t>Standard deviation of Y, control</t>
  </si>
  <si>
    <t>Nc</t>
  </si>
  <si>
    <t>Number of replicates of Y, control</t>
  </si>
  <si>
    <t>Yt</t>
  </si>
  <si>
    <t>St</t>
  </si>
  <si>
    <t>Nt</t>
  </si>
  <si>
    <t>Standard deviation of Y, treatment</t>
  </si>
  <si>
    <t>Number of replicates of Y, treatment</t>
  </si>
  <si>
    <t>Mean value of Y, treatment</t>
  </si>
  <si>
    <t>I</t>
  </si>
  <si>
    <t>S</t>
  </si>
  <si>
    <t>Salinity (psu)</t>
  </si>
  <si>
    <t>LD</t>
  </si>
  <si>
    <t>Light cycle in hours (maximum = 24)</t>
  </si>
  <si>
    <t xml:space="preserve">Medium </t>
  </si>
  <si>
    <t>Generation</t>
  </si>
  <si>
    <t>Number of generations acclimated</t>
  </si>
  <si>
    <t>Opt_T</t>
  </si>
  <si>
    <t>Any unknown variables are left blank</t>
  </si>
  <si>
    <t>Since there is no 'unique' experiment, so mush everything together</t>
  </si>
  <si>
    <t>CO2_atm</t>
  </si>
  <si>
    <t>CO2 concentration in (ppm or uatm)</t>
  </si>
  <si>
    <t>DIC</t>
  </si>
  <si>
    <t>DIC concentration in uM</t>
  </si>
  <si>
    <t>Mu</t>
  </si>
  <si>
    <t>Dilution rate (in d-1) for continuous experiements</t>
  </si>
  <si>
    <t>Location</t>
  </si>
  <si>
    <t>Location in the original study (T = Table, F = Figure, ST = Supplementary Table, SF = Supplementary Figure)</t>
  </si>
  <si>
    <t>Graphclick</t>
  </si>
  <si>
    <t>Used Graphclick to read data ? (y/n)</t>
  </si>
  <si>
    <t>PFT</t>
  </si>
  <si>
    <t>Fe limited (Fe_lim) or Fe replete (Fe_rep)?, only for P/N/I/T</t>
  </si>
  <si>
    <t>T</t>
  </si>
  <si>
    <t>Medium</t>
  </si>
  <si>
    <t>Generations</t>
  </si>
  <si>
    <t>Notes</t>
  </si>
  <si>
    <t>Other</t>
  </si>
  <si>
    <t>Other variables that are manipulated in the study that are kept constant for a particular experimental unit (will be noted in "Notes")</t>
  </si>
  <si>
    <t>P_lim</t>
  </si>
  <si>
    <t>N_lim</t>
  </si>
  <si>
    <t>Fe_lim</t>
  </si>
  <si>
    <t>P limited (y) or P replete (n) or balanced (b)? (noted in the original study), only for Fe/I/T</t>
  </si>
  <si>
    <t>N limited (y) or N replete (n) or balanced (b)? (noted in the original study), only for Fe/I/T</t>
  </si>
  <si>
    <t>Irradiance (umol photons m-2 s-1),only for P/N/Fe/T</t>
  </si>
  <si>
    <t>Bechemin99</t>
  </si>
  <si>
    <t>Alexandrium minutum</t>
  </si>
  <si>
    <t>Miozoa</t>
  </si>
  <si>
    <t>Din</t>
  </si>
  <si>
    <t>T5</t>
  </si>
  <si>
    <t>n</t>
  </si>
  <si>
    <t>N</t>
  </si>
  <si>
    <t>SCB</t>
  </si>
  <si>
    <t>Comparing N:P = 160 (P-limited) and N:P = 16 (Balanced)</t>
  </si>
  <si>
    <t>Variable</t>
  </si>
  <si>
    <t>CP</t>
  </si>
  <si>
    <t>C:P (CP) or C:N(CN)</t>
  </si>
  <si>
    <t>CN</t>
  </si>
  <si>
    <t>Comparing N:P = 1.6 (N-limited) and N:P = 16 (Balanced)</t>
  </si>
  <si>
    <t>Berges02</t>
  </si>
  <si>
    <t>Thalassiosira pseudonana</t>
  </si>
  <si>
    <t>Bacillariophyta</t>
  </si>
  <si>
    <t>Dia</t>
  </si>
  <si>
    <t>F1E</t>
  </si>
  <si>
    <t>y</t>
  </si>
  <si>
    <t>Highest growth at 17C</t>
  </si>
  <si>
    <t>A</t>
  </si>
  <si>
    <t>Bertilsson03</t>
  </si>
  <si>
    <t>Synechococcus sp. WH8012</t>
  </si>
  <si>
    <t>Cyanobacteria</t>
  </si>
  <si>
    <t>Pro</t>
  </si>
  <si>
    <t>T3</t>
  </si>
  <si>
    <t>B</t>
  </si>
  <si>
    <t>Axenic</t>
  </si>
  <si>
    <t>Axenic culture (y/blank)?- (y if only explicitly stated)</t>
  </si>
  <si>
    <t>AN</t>
  </si>
  <si>
    <t>Culture medium (Natural (N) or Artificial (A), or modified natural (AN))</t>
  </si>
  <si>
    <t>Synechococcus sp. WH8103</t>
  </si>
  <si>
    <t>Prochlorococcus sp. Med4</t>
  </si>
  <si>
    <t>Bi17</t>
  </si>
  <si>
    <t>Rhodomonas sp.</t>
  </si>
  <si>
    <t>T2</t>
  </si>
  <si>
    <t>Cryptophyta</t>
  </si>
  <si>
    <t>Euk</t>
  </si>
  <si>
    <t>Use high temperature of 24C, Nlim,LCO2</t>
  </si>
  <si>
    <t>Use high temperature of 24C, Nlim,HCO2</t>
  </si>
  <si>
    <t>Use high temperature of 24C, Balanced condition,LCO2</t>
  </si>
  <si>
    <t>Use high temperature of 24C, P lim,LCO2</t>
  </si>
  <si>
    <t>Use high temperature of 24C, Balanced condition,HCO2</t>
  </si>
  <si>
    <t>Use high temperature of 24C, P lim, HCO2</t>
  </si>
  <si>
    <t>I_lim</t>
  </si>
  <si>
    <t>Light limited ? (y/n), only for P/N/Fe/T</t>
  </si>
  <si>
    <t>Ntype</t>
  </si>
  <si>
    <t>NO3</t>
  </si>
  <si>
    <t>NH4</t>
  </si>
  <si>
    <t>Optimal Temperature ? (y/blank), only for P/N/Fe/I (y if only explicitly stated)</t>
  </si>
  <si>
    <t>Bi18</t>
  </si>
  <si>
    <t>﻿Emiliania huxleyi</t>
  </si>
  <si>
    <t>Haptophyta</t>
  </si>
  <si>
    <t>Coc</t>
  </si>
  <si>
    <t>F3</t>
  </si>
  <si>
    <t>Use high temperature of 24C, Nlim</t>
  </si>
  <si>
    <t>Use high temperature of 24C,Balanced condition</t>
  </si>
  <si>
    <t>Use high temperature of 24C, Balanced condition</t>
  </si>
  <si>
    <t>Use high temperature of 24C, Plim</t>
  </si>
  <si>
    <t>Comparing P limited and balanced growth, T =18C</t>
  </si>
  <si>
    <t>Comparing P limited and balanced growth, T =24C</t>
  </si>
  <si>
    <t>Comparing N limited and balanced growth, T =18C</t>
  </si>
  <si>
    <t>Comparing N limited and balanced growth, T =24C</t>
  </si>
  <si>
    <t>Bittar13</t>
  </si>
  <si>
    <t>F4</t>
  </si>
  <si>
    <t>Threshold intensity of 200 umol photons m-2 s-1, Nlim 2d</t>
  </si>
  <si>
    <t>Chlorophyta</t>
  </si>
  <si>
    <t>BlancoAmeijeiras18</t>
  </si>
  <si>
    <t>﻿Synechococcus sp. PCC7002</t>
  </si>
  <si>
    <t>F1</t>
  </si>
  <si>
    <t>Fe prime in pM, Fe replete to Severe Fe limitation</t>
  </si>
  <si>
    <t>Borchard12</t>
  </si>
  <si>
    <t>C</t>
  </si>
  <si>
    <t>T1</t>
  </si>
  <si>
    <t>Mu = 0.3 d-1, CO2 = 900 uatm</t>
  </si>
  <si>
    <t>Mu = 0.1d-1, CO2 = 900 uatm, Nutrient stressed</t>
  </si>
  <si>
    <t>Boyd16</t>
  </si>
  <si>
    <t>Comparing Treatment A (control) and B (warming)</t>
  </si>
  <si>
    <t>ST3</t>
  </si>
  <si>
    <t>Brauer13</t>
  </si>
  <si>
    <t>Plankton functional type (Diatoms (Dia), Coccolithophores (Coc), Dinoflagellates (Din), Other eukaryotes (Euk), Prokaryotes not including diazotrophs (Pro), Diazotrophs (Dz)</t>
  </si>
  <si>
    <t>Dz</t>
  </si>
  <si>
    <t>F6</t>
  </si>
  <si>
    <t>N2</t>
  </si>
  <si>
    <t>N source = NO3 (non-diazotrophic condition), max growth at 34 C</t>
  </si>
  <si>
    <t>Bucciarelli10</t>
  </si>
  <si>
    <t>Thalassiosira oceanica</t>
  </si>
  <si>
    <t>Pcomm</t>
  </si>
  <si>
    <t>Fe prime in pM, Low Light</t>
  </si>
  <si>
    <t>Fe prime in pM, High light</t>
  </si>
  <si>
    <t>Ditylum brightwellii</t>
  </si>
  <si>
    <t>Claquin02</t>
  </si>
  <si>
    <t>Going from lowest (irradiance) to higher growth rate (irradiance) under light limited experiment</t>
  </si>
  <si>
    <t>Fe prime in nM, Fe deplete media has lower concenctration by a factor of 100 compared to replete media.</t>
  </si>
  <si>
    <t>﻿Synechococcus sp. WH7803</t>
  </si>
  <si>
    <t>Prochlorococcus sp. MED4</t>
  </si>
  <si>
    <t>Cunningham17</t>
  </si>
  <si>
    <t>BermanFrank01</t>
  </si>
  <si>
    <t>﻿Trichodesmium sp. IMS101</t>
  </si>
  <si>
    <t>Feng08</t>
  </si>
  <si>
    <t xml:space="preserve">Emiliania huxleyi </t>
  </si>
  <si>
    <t>Low T, Low CO2</t>
  </si>
  <si>
    <t>Low T, High CO2</t>
  </si>
  <si>
    <t>High T, Low CO2</t>
  </si>
  <si>
    <t>High T, High CO2</t>
  </si>
  <si>
    <t>Low light, Low CO2, Comparing "Ambient" and "High temperature"</t>
  </si>
  <si>
    <t>Low light, High CO2, Comparing "High pCO2" and "Greenhouse"</t>
  </si>
  <si>
    <t>High light, Low CO2, Comparing "Ambient" and "High temperature"</t>
  </si>
  <si>
    <t>High light, High CO2, Comparing "High pCO2" and "Greenhouse"</t>
  </si>
  <si>
    <t>Feng18</t>
  </si>
  <si>
    <t>From lowest P to highest P (w/highest growth)</t>
  </si>
  <si>
    <t>From lowest N to highest N (w/highest growth)</t>
  </si>
  <si>
    <t>From lowest I to optimal I (w/highest growth)</t>
  </si>
  <si>
    <t>From lowest T to optimal T (w/highest growth)</t>
  </si>
  <si>
    <t>Finkel06</t>
  </si>
  <si>
    <t>Fu05</t>
  </si>
  <si>
    <t>Trichodesmium erythraeum IMS101</t>
  </si>
  <si>
    <t>From lowest P to highest P (w/highest growth), converted SE to SD</t>
  </si>
  <si>
    <t>Trichodesmium erythraeum ﻿GBRTRLI101</t>
  </si>
  <si>
    <t>Synechococcus sp. CCMP 1334</t>
  </si>
  <si>
    <t>F2</t>
  </si>
  <si>
    <t>From lowest P to highest P (w/highest growth), use total cellular P pool, converted SE to SD</t>
  </si>
  <si>
    <t>Fu06</t>
  </si>
  <si>
    <t>Fu07</t>
  </si>
  <si>
    <t>Low CO2, Comparing "Control" and "High temperature"</t>
  </si>
  <si>
    <t>High CO2, Comparing "High CO2" and "Greenhouse"</t>
  </si>
  <si>
    <t>Prochlorococcus sp. CCMP1986</t>
  </si>
  <si>
    <t>Synechococcus sp. CCMP1334</t>
  </si>
  <si>
    <t>Phaeodactylum tricornutum</t>
  </si>
  <si>
    <t>Pseudonitzschia multiseries</t>
  </si>
  <si>
    <t xml:space="preserve">Cyanothece sp. </t>
  </si>
  <si>
    <t>Fu08a</t>
  </si>
  <si>
    <t>Heterosigma akashiwo</t>
  </si>
  <si>
    <t>Ochrophyta</t>
  </si>
  <si>
    <t>High CO2, Comparing "High CO2" and "Combined"</t>
  </si>
  <si>
    <t>Prorocentrum minimum</t>
  </si>
  <si>
    <t>Fu08b</t>
  </si>
  <si>
    <t>Crocosphaera watsonii WH8501</t>
  </si>
  <si>
    <t>Fe added in nM, comparing "-Fe" and "+Fe", pCO2 = 19 Pa</t>
  </si>
  <si>
    <t>Fe added in nM, comparing "-Fe" and "+Fe", pCO2 = 39 Pa</t>
  </si>
  <si>
    <t>Fe added in nM, comparing "-Fe" and "+Fe", pCO2 = 76 Pa</t>
  </si>
  <si>
    <t>Fu14</t>
  </si>
  <si>
    <t>Trichodesmium sp. KO4-20</t>
  </si>
  <si>
    <t>Trichodesmium sp. RLI</t>
  </si>
  <si>
    <t>Trichodesmium sp. 21-75</t>
  </si>
  <si>
    <t>Crocosphaera sp. WH0005</t>
  </si>
  <si>
    <t>Crocosphaera sp. WH0402</t>
  </si>
  <si>
    <t>Crocosphaera sp. WH0003</t>
  </si>
  <si>
    <t>Crocosphaera sp. WH0401</t>
  </si>
  <si>
    <t>Garcia11</t>
  </si>
  <si>
    <t>From lowest I to optimal I (w/highest growth), Low CO2, convert SE to SD</t>
  </si>
  <si>
    <t>From lowest I to optimal I (w/highest growth), High CO2, convert SE to SD</t>
  </si>
  <si>
    <t>Giovagnetti12</t>
  </si>
  <si>
    <t>Minutocellus sp. RCC703</t>
  </si>
  <si>
    <t>F23</t>
  </si>
  <si>
    <t>Minutocellus sp. RCC967</t>
  </si>
  <si>
    <t>F24</t>
  </si>
  <si>
    <t>Type of DIN used (Nitrate (NO3),Ammonium(NH4), Nitrite (NO2), N2 gas(N2), mixture (mix))</t>
  </si>
  <si>
    <t>Skeletonema costatum</t>
  </si>
  <si>
    <t>F5</t>
  </si>
  <si>
    <t>Heiden16</t>
  </si>
  <si>
    <t>From lowest I to optimal I (w/highest growth), Ambient CO2, convert SE to SD</t>
  </si>
  <si>
    <t>Hoffmann07</t>
  </si>
  <si>
    <t>Compare Treatment C (Fe'=1.55 nM) and Treatment D (Fe'=15.5 nM)</t>
  </si>
  <si>
    <t>Fragilariopsis kerguelensis</t>
  </si>
  <si>
    <t>Hong17</t>
  </si>
  <si>
    <t>T4</t>
  </si>
  <si>
    <t>Emiliania huxleyi</t>
  </si>
  <si>
    <t>Thalassiosira weissflogii</t>
  </si>
  <si>
    <t>Staurosira sp.</t>
  </si>
  <si>
    <t>Chlorella sp.</t>
  </si>
  <si>
    <t>Pycnococcus provasolii</t>
  </si>
  <si>
    <t>Cyanothece sp. WH8904</t>
  </si>
  <si>
    <t>Cyanothece sp. WH8905</t>
  </si>
  <si>
    <t>Amphidinium carterae</t>
  </si>
  <si>
    <t>Chaetoceros calcitrans</t>
  </si>
  <si>
    <t>Fragilariopsis curta</t>
  </si>
  <si>
    <t>Odontella weisflogii</t>
  </si>
  <si>
    <t>Hoogstraten12</t>
  </si>
  <si>
    <t>﻿Phaeocystis globosa</t>
  </si>
  <si>
    <t>Compare LL and HL,Intermediate CO2</t>
  </si>
  <si>
    <t>Compare LL and HL, High CO2</t>
  </si>
  <si>
    <t>Compare LL and HL, Low CO2</t>
  </si>
  <si>
    <t>Hutchins07</t>
  </si>
  <si>
    <t>Trichodesmium ﻿erythraeum ﻿GBRTRLI101</t>
  </si>
  <si>
    <t>﻿Trichodesmium ﻿erythraeum ﻿IMS101</t>
  </si>
  <si>
    <t>Trichodesmium ﻿erythraeum ﻿IMS101</t>
  </si>
  <si>
    <t>P replete, Low CO2, Comparing "Control" and "High Temperature"</t>
  </si>
  <si>
    <t>P limited, High CO2, Comparing "High CO2" and "Greenhouse"</t>
  </si>
  <si>
    <t>P replete, High CO2, Comparing "High CO2" and "Greenhouse"</t>
  </si>
  <si>
    <t>Jacq14</t>
  </si>
  <si>
    <t>Fe prime in nM, from lowest to highest Fe'</t>
  </si>
  <si>
    <t>Jing17</t>
  </si>
  <si>
    <t>Prorocentrum donghaiense</t>
  </si>
  <si>
    <t>Use 6th day C:N values for Nitrate-replete and Nitrate-limited</t>
  </si>
  <si>
    <t>ST1</t>
  </si>
  <si>
    <t>Jiang18</t>
  </si>
  <si>
    <t>Trichodesmium sp. IMS101</t>
  </si>
  <si>
    <t>Fe replete, optimal T = 27 degC from Fig.1</t>
  </si>
  <si>
    <t>Fe replete, optimal T = 32 degC from Fig.1</t>
  </si>
  <si>
    <t>Johansson99a</t>
  </si>
  <si>
    <t>Chrysochromulina polylepis</t>
  </si>
  <si>
    <t>Johansson99b</t>
  </si>
  <si>
    <t>Prymnesium parvum</t>
  </si>
  <si>
    <t>Kaffes10</t>
  </si>
  <si>
    <t>Comparing "Ambient" and "Replete"</t>
  </si>
  <si>
    <t>Knapp12</t>
  </si>
  <si>
    <t>ST4</t>
  </si>
  <si>
    <t>Koch19</t>
  </si>
  <si>
    <t>Phaeocystis antarctica</t>
  </si>
  <si>
    <t>ST2</t>
  </si>
  <si>
    <t>Low CO2, Compare +Fe (total dFe = 4.55 nM) and -Fe (0.55 nM)</t>
  </si>
  <si>
    <t>High CO2, Compare +Fe (total dFe = 4.55 nM) and -Fe (0.55 nM)</t>
  </si>
  <si>
    <t>Kranz10</t>
  </si>
  <si>
    <t>Low CO2</t>
  </si>
  <si>
    <t>High CO2</t>
  </si>
  <si>
    <t>Kremp09</t>
  </si>
  <si>
    <t>Compare "Control" and "+6" treatment</t>
  </si>
  <si>
    <t>Scrippsiella hangoei</t>
  </si>
  <si>
    <t>Gymnodinium corollarium</t>
  </si>
  <si>
    <t>Woloszynskia halophila</t>
  </si>
  <si>
    <t>Kudo97</t>
  </si>
  <si>
    <t>Synechococcus sp.</t>
  </si>
  <si>
    <t>T = 22 degC, Compare Fe-replete (TFe added =250 nM) and Fe-limited (TFe added =10 nM)</t>
  </si>
  <si>
    <t>T = 27 degC, Compare Fe-replete (TFe added =250 nM) and Fe-limited (TFe added =10 nM)</t>
  </si>
  <si>
    <t>T = 32 degC, Compare Fe-replete (TFe added =250 nM) and Fe-limited (TFe added =10 nM)</t>
  </si>
  <si>
    <t>High Light, NO3 as N source, use lowest to optimal TFe in nM</t>
  </si>
  <si>
    <t>Low Light, NO3 as N source, use lowest to optimal TFe in nM</t>
  </si>
  <si>
    <t>Low Light, NH4 as N source, use lowest to optimal TFe in nM</t>
  </si>
  <si>
    <t>TFe = 10 nM, Low Light to High light, NO3 as N source</t>
  </si>
  <si>
    <t>TFe = 10 nM, Low Light to High light, NH4 as N source</t>
  </si>
  <si>
    <t>Kudo00</t>
  </si>
  <si>
    <t>Free Fe in nM, T = 10 degC, converted SE to SD</t>
  </si>
  <si>
    <t>Free Fe in nM, T = 20 degC, converted SE to SD</t>
  </si>
  <si>
    <t>LaRoche93</t>
  </si>
  <si>
    <t>Compare "P-limited" and "Replete", no mention of experimental temperature</t>
  </si>
  <si>
    <t>Dunaliella tertiolecta</t>
  </si>
  <si>
    <t>Compare "N-limited" and "Replete", no mention of experimental temperature</t>
  </si>
  <si>
    <t>Total Fe in nM, Compare "Fe-limited" and "Replete", no mention of experimental temperature</t>
  </si>
  <si>
    <t>Langer12</t>
  </si>
  <si>
    <t>Calcidiscus leptoporus</t>
  </si>
  <si>
    <t>Langer13</t>
  </si>
  <si>
    <t>Leonardos04a</t>
  </si>
  <si>
    <t>Chaetoceros muelleri</t>
  </si>
  <si>
    <t>Compare Low light and high light, N:P = 5, use values from the late stationary phase (nutrient limited)</t>
  </si>
  <si>
    <t>Compare Low light and high light, N:P = 35, use values from the late stationary phase (nutrient limited)</t>
  </si>
  <si>
    <t>Compare Low light and high light, N:P = 5, use values from the early exponential phase (nutrient replete)</t>
  </si>
  <si>
    <t>Leonardos04b</t>
  </si>
  <si>
    <t>Leonardos05a</t>
  </si>
  <si>
    <t>Rhinomonas reticulata</t>
  </si>
  <si>
    <t xml:space="preserve">Compare low light to high light, N:P = 30 (N-limited) </t>
  </si>
  <si>
    <t xml:space="preserve">Compare low light to high light, N:P = 15 (N-limited) </t>
  </si>
  <si>
    <t xml:space="preserve">Compare low light to high light, N:P = 5 (N-limited) </t>
  </si>
  <si>
    <t>Leonardos05b</t>
  </si>
  <si>
    <t>Compare low light to high light, N:P = 30 (P-limited), low CO2</t>
  </si>
  <si>
    <t>Compare low light to high light, N:P = 30 (P-limited), High CO3</t>
  </si>
  <si>
    <t>Compare low light to high light, N:P = 15 (near critical N:P), low CO2</t>
  </si>
  <si>
    <t>Compare low light to high light, N:P = 15 (near critical N:P), High CO2</t>
  </si>
  <si>
    <t>Compare low light to high light, N:P = 5 (N-limited), low CO2</t>
  </si>
  <si>
    <t>Compare low light to high light, N:P = 5 (N-limited), High CO2</t>
  </si>
  <si>
    <t>Leong04</t>
  </si>
  <si>
    <t>Alexandrium tamarense</t>
  </si>
  <si>
    <t>Compare lowest NO3 and optimal NO3 w/highest growth rate</t>
  </si>
  <si>
    <t>Compare lowest NH4 and optimal NH4 w/highest growth rate</t>
  </si>
  <si>
    <t>Levasseur93</t>
  </si>
  <si>
    <t>T2,T3</t>
  </si>
  <si>
    <t>NO3 as N source, compare low light and high light</t>
  </si>
  <si>
    <t>Chaetoceros gracilis</t>
  </si>
  <si>
    <t>Gymnodinium sanguineum</t>
  </si>
  <si>
    <t>Levitan10</t>
  </si>
  <si>
    <t>CO2 = 400 uatm, comparing T = 25 degC and 31 degC</t>
  </si>
  <si>
    <t>Li12</t>
  </si>
  <si>
    <t>Li13</t>
  </si>
  <si>
    <t>Compare lowest to optimal light w/highest growth, Low CO2</t>
  </si>
  <si>
    <t>Growth mode (Continuous (C), Semi-continuous-Batch (SCB), Batch (B), Turbidostat (T))</t>
  </si>
  <si>
    <t>Compare lowest to optimal light w/highest growth, High CO2</t>
  </si>
  <si>
    <t>Li17</t>
  </si>
  <si>
    <t>Compare low N and high N, I =30, convert mass C:N to molar C:N</t>
  </si>
  <si>
    <t>Compare low N and high N, I =180, convert mass C:N to molar C:N</t>
  </si>
  <si>
    <t>Compare low N and high N, I =380, convert mass C:N to molar C:N</t>
  </si>
  <si>
    <t>Compare low light and optimal light w/highest growth rate, High Nitrogen</t>
  </si>
  <si>
    <t>Li18</t>
  </si>
  <si>
    <t>Thalassiosira punctigera</t>
  </si>
  <si>
    <t>Marchetti07</t>
  </si>
  <si>
    <t>Total Fe in nM, Compare "Fe-limited" and "Replete", Experiment a</t>
  </si>
  <si>
    <t>Total Fe in nM, Compare "Fe-limited" and "Replete", Experiment b</t>
  </si>
  <si>
    <t>Pseudonitzschia cf. ﻿heimii type 2</t>
  </si>
  <si>
    <t>Pseudonitzschia ﻿heimii type 1</t>
  </si>
  <si>
    <t>Pseudonitzschia ﻿dolorosa</t>
  </si>
  <si>
    <t>Pseudonitzschia ﻿cf. turgidula</t>
  </si>
  <si>
    <t>Pseudonitzschia cf. calliantha</t>
  </si>
  <si>
    <t>F8</t>
  </si>
  <si>
    <t>Martiny16</t>
  </si>
  <si>
    <t>Prochlorococcus sp. VOL7</t>
  </si>
  <si>
    <t>Optimal T = 24 deg C, Calculated variance weighted mean and SD across 6 replicates, assumed SD = mean where no duplicate SD were given</t>
  </si>
  <si>
    <t>Prochlorococcus sp. VOL4</t>
  </si>
  <si>
    <t>Prochlorococcus sp. VOL29</t>
  </si>
  <si>
    <t>Optimal T = 19 deg C, Calculated variance weighted mean and SD across 6 replicates, assumed SD = mean where no duplicate SD were given</t>
  </si>
  <si>
    <t>Prochlorococcus sp. UH18301</t>
  </si>
  <si>
    <t>Prochlorococcus sp. VOL8</t>
  </si>
  <si>
    <t>Optimal T = 24 deg C, Calculated variance weighted mean and SD across 4 or 6 replicates, assumed SD = mean where no duplicate SD were given</t>
  </si>
  <si>
    <t>McKew15</t>
  </si>
  <si>
    <t>Compare "N-limited" and "Replete"</t>
  </si>
  <si>
    <t>Meyerink17</t>
  </si>
  <si>
    <t>Eucampia antarctica</t>
  </si>
  <si>
    <t>Fe prime in pM, lowest Fe to optimal Fe w/ highest growth rate, convert SE to SD</t>
  </si>
  <si>
    <t>Proboscia inermis</t>
  </si>
  <si>
    <t>Nodularia spumigena</t>
  </si>
  <si>
    <t>Mou17</t>
  </si>
  <si>
    <t>Synechococcus sp. PCC7002</t>
  </si>
  <si>
    <t>Low CO2, Comapre low N and N with highest growth rate</t>
  </si>
  <si>
    <t>High CO2, Comapre low N and N with highest growth rate</t>
  </si>
  <si>
    <t>Mouginot15</t>
  </si>
  <si>
    <t>Synechococcus sp. WH8102</t>
  </si>
  <si>
    <t xml:space="preserve">When N:P supply ratio is changed (e.g., Mouginot et al., 2015). Follow the original paper definition. </t>
  </si>
  <si>
    <t>Consider P-limited when PO4 remaining falls below the detection limit (N:P &gt;10). Compare N:P = 20 (PO4 = 2.0uM) and N:P = 10 (NO3=4.0 uM)</t>
  </si>
  <si>
    <t>Muggli96</t>
  </si>
  <si>
    <t>Actinocyclus sp.</t>
  </si>
  <si>
    <t>Total Fe in nM, from Fe-stressed to Fe-replete, N source = NO3, convert SE to SD</t>
  </si>
  <si>
    <t>Total Fe in nM, from Fe-stressed to Fe-replete, N source = NH4, convert SE to SD</t>
  </si>
  <si>
    <t>Nielsen91</t>
  </si>
  <si>
    <t>Gyrodinium aureolum</t>
  </si>
  <si>
    <t>Optimal T = 20 degC, S = 22.3, convert SE to SD</t>
  </si>
  <si>
    <t>Optimal T = 20 degC, S = 28.8, convert SE to SD</t>
  </si>
  <si>
    <t>Optimal T = 22.5 degC, S = 34, convert SE to SD</t>
  </si>
  <si>
    <t>Nielsen92</t>
  </si>
  <si>
    <t>Experiment 1, Compare lowest to optimal light w/highest division rate (150 umol m-2 s-1), Daylength = 18h, converted SE to SD</t>
  </si>
  <si>
    <t>Nielsen93</t>
  </si>
  <si>
    <t>Spectra = White, compare lowest I to optimal light w/highest growth, convert SE to SD</t>
  </si>
  <si>
    <t>Spectra = Yellow, compare lowest I to optimal light w/highest growth, convert SE to SD</t>
  </si>
  <si>
    <t>Spectra = Red, compare lowest I to optimal light w/highest growth, convert SE to SD</t>
  </si>
  <si>
    <t>Spectra = Green, compare lowest I to optimal light w/highest growth, convert SE to SD</t>
  </si>
  <si>
    <t>Spectra = Blue, compare lowest I to optimal light w/highest growth, convert SE to SD</t>
  </si>
  <si>
    <t>Nielsen96</t>
  </si>
  <si>
    <t>Gymnodinium galatheanum</t>
  </si>
  <si>
    <t>From lowest I to optimal I (w/highest growth), converted SE to SD</t>
  </si>
  <si>
    <t>From lowest T to optimal T (w/highest growth), S = 10, converted SE to SD</t>
  </si>
  <si>
    <t>From lowest T to optimal T (w/highest growth), S = 24, converted SE to SD</t>
  </si>
  <si>
    <t>From lowest T to optimal T (w/highest growth), S = 34, converted SE to SD</t>
  </si>
  <si>
    <t>Norici11</t>
  </si>
  <si>
    <t>Skeletonema marinoi</t>
  </si>
  <si>
    <t>Compare LL and HL</t>
  </si>
  <si>
    <t>Oviedo14</t>
  </si>
  <si>
    <t>Emiliania huxleyi RCC1813</t>
  </si>
  <si>
    <t>Emiliania huxleyi RCC1817</t>
  </si>
  <si>
    <t>Emiliania huxleyi RCC1812</t>
  </si>
  <si>
    <t>Emiliania huxleyi RCC1827</t>
  </si>
  <si>
    <t>Emiliania huxleyi RCC1830</t>
  </si>
  <si>
    <t>Emiliania huxleyi RCC1833</t>
  </si>
  <si>
    <t>Passow15</t>
  </si>
  <si>
    <t>From lowest T to optimal T (w/highest growth), Low light, Ambient CO2 (pH = 8.0 ~ 8.6), convert SE to SD, weight C:N to molar C:N</t>
  </si>
  <si>
    <t>From lowest T to optimal T (w/highest growth), Low light, Future CO2 (pH = 7.5 ~ 8.3), convert SE to SD, weight C:N to molar C:N</t>
  </si>
  <si>
    <t>From lowest light to high light, T = 20 degC, Ambient CO2 (pH = 8.0 ~ 8.6), convert SE to SD, weight C:N to molar C:N</t>
  </si>
  <si>
    <t>From lowest light to high light, T = 20 degC, High CO2 (pH = 7.5 ~ 8.3), convert SE to SD, weight C:N to molar C:N</t>
  </si>
  <si>
    <t>Perrin16</t>
  </si>
  <si>
    <t>Compare "NO3 limited " and "Control", low light</t>
  </si>
  <si>
    <t>Compare "NO3 limited " and "Control", high light</t>
  </si>
  <si>
    <t>Compare LL and HL, control</t>
  </si>
  <si>
    <t>Plum15</t>
  </si>
  <si>
    <t>Rhodomonas salina</t>
  </si>
  <si>
    <t>Compare "-N" and "+N", low light, converted SE to SD</t>
  </si>
  <si>
    <t>Compare "-N" and "+N", high light, converted SE to SD</t>
  </si>
  <si>
    <t>Tetraselmis sp.</t>
  </si>
  <si>
    <t>Chaetoceras danicus</t>
  </si>
  <si>
    <t>Compare low light and high light, N limited, converted SE to SD</t>
  </si>
  <si>
    <t>Compare low light and high light, N replete, converted SE to SD</t>
  </si>
  <si>
    <t>Qu18</t>
  </si>
  <si>
    <t>Coscinodiscus sp</t>
  </si>
  <si>
    <t>F4, SF1</t>
  </si>
  <si>
    <t>Low CO2, Low nitrate condition (NO3 = 5 uM), Compare T = 16 deg C and 20 deg C</t>
  </si>
  <si>
    <t>Low CO2, Low nitrate condition (NO3 = 50 uM), Compare T = 16 deg C and 20 deg C</t>
  </si>
  <si>
    <t>Low CO2, Low nitrate condition (NO3 = 100 uM), Compare T = 16 deg C and 20 deg C</t>
  </si>
  <si>
    <t>High CO2, Low nitrate condition (NO3 = 5 uM), Compare T = 16 deg C and 20 deg C</t>
  </si>
  <si>
    <t>High CO2, Low nitrate condition (NO3 = 50 uM), Compare T = 16 deg C and 20 deg C</t>
  </si>
  <si>
    <t>High CO2, Low nitrate condition (NO3 = 100 uM), Compare T = 16 deg C and 20 deg C</t>
  </si>
  <si>
    <t>Low CO2, T = 16 deg C, Compare N-limited condition (NO3 = 5 uM) to N-replete condition (50 uM) w/ max growth rate</t>
  </si>
  <si>
    <t>High CO2, T = 16 deg C, Compare N-limited condition (NO3 = 5 uM) to N-replete condition (50 uM) w/ max growth rate</t>
  </si>
  <si>
    <t>Low CO2, T = 20 deg C, Compare N-limited condition (NO3 = 5 uM) to N-replete condition (50 uM) w/ max growth rate</t>
  </si>
  <si>
    <t>High CO2, T = 20 deg C, Compare N-limited condition (NO3 = 5 uM) to N-replete condition (50 uM) w/ max growth rate</t>
  </si>
  <si>
    <t>Rabouille17</t>
  </si>
  <si>
    <t>Crocosphaera watsonii</t>
  </si>
  <si>
    <t>Rasdi15</t>
  </si>
  <si>
    <t>Tisochrysis lutea</t>
  </si>
  <si>
    <t>Compare N:P = 120 (P-llimited) to N:P = 20 (optimal growth)</t>
  </si>
  <si>
    <t>Compare N:P = 5 (N-llimited) to N:P = 20 (optimal growth)</t>
  </si>
  <si>
    <t>Nannochloropsis oculata</t>
  </si>
  <si>
    <t>Richardson96</t>
  </si>
  <si>
    <t>Rhizosolenia formosa</t>
  </si>
  <si>
    <t>Compare "N-depleted" and "N-replete", convert SE to SD, mass ratio to molar ratio</t>
  </si>
  <si>
    <t>Rokitta12</t>
  </si>
  <si>
    <t>Emiliania huxleyi RCC1216</t>
  </si>
  <si>
    <t>Emiliania huxleyi RCC1217</t>
  </si>
  <si>
    <t>Roleda13</t>
  </si>
  <si>
    <t>Nutrient deplete (SW), SD through personal communication with corresponding author</t>
  </si>
  <si>
    <t>Nutrient replete (F/2), SD through personal communication with corresponding author</t>
  </si>
  <si>
    <t>Odontella aurita</t>
  </si>
  <si>
    <t>Isochrysis galbana</t>
  </si>
  <si>
    <t>Chromulina ochromonoides</t>
  </si>
  <si>
    <t>Ruan17</t>
  </si>
  <si>
    <t>Synechococcus sp. UTEX LB 2380</t>
  </si>
  <si>
    <t>Compare "N-limited" and "Energy limited", N source = NO3</t>
  </si>
  <si>
    <t>Compare "N-limited" and "Energy limited", N source = NH4</t>
  </si>
  <si>
    <t>Scrippsiella trochoidea</t>
  </si>
  <si>
    <t>SanudoWilhelmy04</t>
  </si>
  <si>
    <t>Trichodesmium ﻿sp. ﻿IMS101</t>
  </si>
  <si>
    <t>Schaum18</t>
  </si>
  <si>
    <t>Compare 22 deg C and 26 deg C (w/highest growth rate), converted SE tto SD</t>
  </si>
  <si>
    <t>Schoo10</t>
  </si>
  <si>
    <t>Shi15</t>
  </si>
  <si>
    <t>Compare LL and HL, Low CO2, N source = NO3</t>
  </si>
  <si>
    <t>Compare LL and HL, High CO2, N source = NO3</t>
  </si>
  <si>
    <t>Compare LL and HL, Low CO2, N source = NH4</t>
  </si>
  <si>
    <t>Six04</t>
  </si>
  <si>
    <t>Skau17</t>
  </si>
  <si>
    <t>S1</t>
  </si>
  <si>
    <t>Compare 13 deg C and 19 degC, P replete</t>
  </si>
  <si>
    <t>Prymnesium polylepis</t>
  </si>
  <si>
    <t>Compare 13 deg C and 19 degC, P limited</t>
  </si>
  <si>
    <t>Chrysochromulina rotalis</t>
  </si>
  <si>
    <t>Staehr02</t>
  </si>
  <si>
    <t>Brachiomonas sp.</t>
  </si>
  <si>
    <t>Pyramimonas disomata</t>
  </si>
  <si>
    <t>Pseudo﻿scourfieldia marina</t>
  </si>
  <si>
    <t>Steinhoff14</t>
  </si>
  <si>
    <t>Aphanizomenon flos-aquae</t>
  </si>
  <si>
    <t>Strzepek00</t>
  </si>
  <si>
    <t>Compare low light and optimal light w/highest growth rate, converted SE to SD, N source = NO3</t>
  </si>
  <si>
    <t>Compare low light and optimal light w/highest growth rate, converted SE to SD, N source = NH4</t>
  </si>
  <si>
    <t>Compare low temp and optimal temp w/highest growth rate, converted SE to SD, N source = NO3</t>
  </si>
  <si>
    <t>Compare low temp and optimal temp w/highest growth rate, converted SE to SD, N source = NH4</t>
  </si>
  <si>
    <t>Pseudonitzschia ﻿pseudodelicatissima</t>
  </si>
  <si>
    <t>CO2 = 171 ppm, Fe' in pM from lowest to optimal w/highest growth rate, Data from https://doi.org/10.1594/PANGAEA.833852, mean and SD of duplicate</t>
  </si>
  <si>
    <t>CO2 = 386 ppm, Fe' in pM from lowest to optimal w/highest growth rate, Data from https://doi.org/10.1594/PANGAEA.833852, mean and SD of duplicate</t>
  </si>
  <si>
    <t>CO2 = 614 ppm, Fe' in pM from lowest to optimal w/highest growth rate, Data from https://doi.org/10.1594/PANGAEA.833852, mean and SD of duplicate</t>
  </si>
  <si>
    <t>Sugie13</t>
  </si>
  <si>
    <t>Sugie16</t>
  </si>
  <si>
    <t>Sugie17</t>
  </si>
  <si>
    <t>CO2 = 386 ppm, compare Low Fe' and high Fe' in pM, data from https://doi.pangaea.de/10.1594/PANGAEA.859316, mean and SD of duplicate</t>
  </si>
  <si>
    <t>CO2 = 614 ppm, compare Low Fe' and high Fe' in pM, data from https://doi.pangaea.de/10.1594/PANGAEA.859316, mean and SD of duplicate</t>
  </si>
  <si>
    <t>CO2 = 795 ppm, compare Low Fe' and high Fe' in pM, data from https://doi.pangaea.de/10.1594/PANGAEA.859316, mean and SD of duplicate</t>
  </si>
  <si>
    <t>Attheya longicornis</t>
  </si>
  <si>
    <t xml:space="preserve">Total Fe in nM, Compare "Fe-depleted" and "Control" </t>
  </si>
  <si>
    <t>When error bars are not visible assume minimum SD of 0.1 for both C:P and C:N</t>
  </si>
  <si>
    <t>Sun11</t>
  </si>
  <si>
    <t>﻿Pseudo-nitzschia multiseries</t>
  </si>
  <si>
    <t>Sun18</t>
  </si>
  <si>
    <t>Taucher15</t>
  </si>
  <si>
    <t>Compare "Ambient" and "High Temp", use [POC:PON]max, converted SE to SD</t>
  </si>
  <si>
    <t>Compare "High CO2" and "Combined", use [POC:PON]max, converted SE to SD</t>
  </si>
  <si>
    <t>Fe: Going from Fe-lim to Fe-replete (explicitly noted in the original study), other variables kept constant. If mulitle levels used go to the highest growth/or highest concentration/highest Fe uptake/highest chl</t>
  </si>
  <si>
    <t>P: Going from P-lim to P-replete (explicitly noted in the original study), other variables kept constant.If mulitle levels used go to the highest growth/or highest concentration/highest P uptake rate (concentration at which P-limitation is minimum)/highest chl</t>
  </si>
  <si>
    <t>N: Going from N-lim to N-replete (explicitly noted in the original study), other variables kept constant. If mulitle levels used go to the highest growth/or highest concentration/highest N uptake rate (concentration at which N-limitation is minimum)/highest chl</t>
  </si>
  <si>
    <t>T: Going from the lowest temp to optimal temp (explicitly noted in the original study)/highest growth rate/highest temp/highest cell count/highest chl, other factors kept constant</t>
  </si>
  <si>
    <t>Tew14</t>
  </si>
  <si>
    <t>Nitzschia ovalis</t>
  </si>
  <si>
    <t>Compare "Control" and "High temp" treatment, converted SE to SD</t>
  </si>
  <si>
    <t>Low Fe, converted SE to SD, optimal T =20 deg C</t>
  </si>
  <si>
    <t>High Fe, converted SE to SD,  optimal T =20 deg C</t>
  </si>
  <si>
    <t>Low light, Compare inflow N:P = 90 (P-limited) and N:P = 45 (highest P-limited growth)</t>
  </si>
  <si>
    <t>High light, Compare inflow N:P = 90 (P-limited) and N:P = 45 (highest P-limited growth)</t>
  </si>
  <si>
    <t>NH4 as N source, compare low light and high light</t>
  </si>
  <si>
    <t>Fe prime in pM, from lowest Fe' to higher Fe'</t>
  </si>
  <si>
    <t>Compare "N replete" and  "N limited-2"  (extracted after 72 hrs), Low CO2</t>
  </si>
  <si>
    <t>Compare "N replete" and  "N limited-2"  (extracted after 72 hrs), High CO2</t>
  </si>
  <si>
    <t>Comparing N:P = 1 (N-limited) and N:P = 16 (Balanced, highest cell density)</t>
  </si>
  <si>
    <t>Use Stationary-phase C:N:P, Compare "N:P=5:1" and "N:P=16:1, highest Chl a"</t>
  </si>
  <si>
    <t>Stationary phase, compare "N-deplete" and "Redfield", I = 100 umol photons m-2 s-1, convert SE to SD, used Chl a as growth proxy</t>
  </si>
  <si>
    <t>Stationary phase, compare "N-deplete" and "Redfield", I = 300 umol photons m-2 s-1, convert SE to SD, used Chl a as growth proxy</t>
  </si>
  <si>
    <t>Compare "-N" and "f/2" on Day 14, used Chl a as growth proxy</t>
  </si>
  <si>
    <t>Compare "N-depleted" and "Control", used Chl a as growth proxy</t>
  </si>
  <si>
    <t>Compare P-relete (w/higher mu) and P-limited</t>
  </si>
  <si>
    <t>Comparing P-limited and P-replete (w/higher growth rate) , "Control"</t>
  </si>
  <si>
    <t>Comparing P-limited and P-replete (w/higher growth rate), "Control"</t>
  </si>
  <si>
    <t>Comparing P-limited and P-replete (w/higher growth rate), "High T"</t>
  </si>
  <si>
    <t>Comparing P-limited and P-replete (w/higher growth rate), "High CO2"</t>
  </si>
  <si>
    <t>Comparing P-limited and P-replete (w/higher growth rate), "Greenhouse"</t>
  </si>
  <si>
    <t>Comparing N:P = 160 (P-limited) and N:P = 16 (Balanced, highest cell density)</t>
  </si>
  <si>
    <t>Compare "PO4 limited " and "Control" (w/higher growth rate)</t>
  </si>
  <si>
    <t>Compare "PO4 limited " and "PO4-Control" (w/higher growth rate)</t>
  </si>
  <si>
    <t>Compare "NO3 limited " and "Control" (w/higher growth rate)</t>
  </si>
  <si>
    <t>Compare "NO3 limited " and "NO3-Control" (w/higher growth rate)</t>
  </si>
  <si>
    <t>Low CO2, Compare low N and high N</t>
  </si>
  <si>
    <t>High CO2, Compare low N and high N</t>
  </si>
  <si>
    <t xml:space="preserve">Compare LL and HL (w/higher growth), N:P = 45 </t>
  </si>
  <si>
    <t>Compare LL and HL (w/higher growth), N:P = 90</t>
  </si>
  <si>
    <t>Low light, Compare inflow N:P = 60 (P-limited) and N:P = 45 (highest P-limited cell density)</t>
  </si>
  <si>
    <t>High light, Compare inflow N:P = 60 (P-limited) and N:P = 45 (highest P-limited cell density)</t>
  </si>
  <si>
    <t>Low Light, ambient CO2, Compare inflow N:P = 30 (P-lim) to 15 (critical N:P, highest growth rate)</t>
  </si>
  <si>
    <t>High Light, ambient CO2, Compare inflow N:P = 30 (P-lim) to 15 (critical N:P,highest growth rate)</t>
  </si>
  <si>
    <t>Compare "P-limited" and "Replete" (w/higher growth rate)</t>
  </si>
  <si>
    <t>Compare "PO4 limited " and "Control" (w/higher growth rate), low light</t>
  </si>
  <si>
    <t>Compare "PO4 limited " and "Control" (w/higher growth rate), high light</t>
  </si>
  <si>
    <t>Use total cellular C:P, compare "P-limited" and "P-replete" (w/higher P uptale rate)</t>
  </si>
  <si>
    <t>Compare "-P" and "f/2" (w/higher growth rate)</t>
  </si>
  <si>
    <t>Compare "-P" and "+P" (w/higher growth rate), T = 13 deg C</t>
  </si>
  <si>
    <t>Compare "-P" and "+P" (w/higher growth rate), T = 19 deg C</t>
  </si>
  <si>
    <t>Compare "-P" and "f/2"(w/higher Chla) on Day 14</t>
  </si>
  <si>
    <t>Compare "-P" and "f/2"(w/higher Chla) on Day 15</t>
  </si>
  <si>
    <t>Compare "P-limited" and "P-replete" (w/higher growthr rate), CO2 = 220 ppm</t>
  </si>
  <si>
    <t>Compare "P-limited" and "P-replete" (w/higher growth rate), CO2 = 400 ppm</t>
  </si>
  <si>
    <t>Compare "P-limited" and "P-replete"  (w/higher growth rate), CO2 = 730 ppm</t>
  </si>
  <si>
    <t>Thompson89</t>
  </si>
  <si>
    <t>From lowest I to optimal I (w/highest growth), N source = NO3</t>
  </si>
  <si>
    <t>From lowest I to optimal I (w/highest growth), N source = NH4</t>
  </si>
  <si>
    <t>Chaetoceros simplex</t>
  </si>
  <si>
    <t>Pavlova lutheri</t>
  </si>
  <si>
    <t>Thompson93</t>
  </si>
  <si>
    <t>Compare LL and HL (w/higher growth)</t>
  </si>
  <si>
    <t>Thompson94</t>
  </si>
  <si>
    <t>When there are multiple levels for multiple factors (e.g. Thompson et al.1999), take the mean value of the other (e.g. Take mean irradiance) for a given temperature</t>
  </si>
  <si>
    <t xml:space="preserve">Nutrient limitation based on growth phases (for batch experiements): Lag, exponential = nutrient replete; Stationary = nutrient limited </t>
  </si>
  <si>
    <t>Wood95</t>
  </si>
  <si>
    <t>Heterosigma carterae</t>
  </si>
  <si>
    <t>Compare LL and HL (w/highest growth rate), "Stationary phase", mean and SD of (2*3) replicates, N source = NO3</t>
  </si>
  <si>
    <t>Xu14</t>
  </si>
  <si>
    <t>Total dissolved Fe in nM, Compare "Fe limited" and "Fe replete" (w/higher growth rate), "Current"</t>
  </si>
  <si>
    <t>Total dissolved Fe in nM, Compare "Fe limited" and "Fe replete" (w/higher growth rate), "2060"</t>
  </si>
  <si>
    <t>Total dissolved Fe in nM, Compare "Fe limited" and "Fe replete" (w/higher growth rate), "2100"</t>
  </si>
  <si>
    <t>Fragilariopsis cylindrus</t>
  </si>
  <si>
    <t>Compare LL and HL (saturating irradiance), "Stationary phase", mean and SD of (2*3) replicates, N source = NH4</t>
  </si>
  <si>
    <t>I: Going from the lowest irradiance to (closest to) optimal or saturating irradiance (explicitly noted in the original study)/highest growth rate/highest cell count/highest chl, other factors kept constant.</t>
  </si>
  <si>
    <t>Zhu16</t>
  </si>
  <si>
    <t>Pseudo-nitzschia subcurvata</t>
  </si>
  <si>
    <t>Fe added in nM, T= 0 deg C, Low nutrient, Compare "-Fe" and "+Fe" w/higher growth rate</t>
  </si>
  <si>
    <t>Fe added in nM, T= 4 deg C, Low nutrient, Compare "-Fe" and "+Fe" w/higher growth rate</t>
  </si>
  <si>
    <t>Fe added in nM, T= 0 deg C, High nutrient, Compare "-Fe" and "+Fe" w/higher growth rate</t>
  </si>
  <si>
    <t>Fe added in nM, T= 4 deg C, High nutrient, Compare "-Fe" and "+Fe" w/higher growth rate</t>
  </si>
  <si>
    <t>Chaetoceros sp.</t>
  </si>
  <si>
    <t>﻿Phaeocystis antarctica</t>
  </si>
  <si>
    <t>Fe limited, Low nutrient T= 0 deg C to 4 deg C (w/higher growth rate)</t>
  </si>
  <si>
    <t>Fe replete, Low nutrient T= 0 deg C to 4 deg C (w/higher growth rate)</t>
  </si>
  <si>
    <t>Fe limited, High nutrient T= 0 deg C to 4 deg C (w/higher growth rate)</t>
  </si>
  <si>
    <t>Fe replete, High nutrient T= 0 deg C to 4 deg C (w/higher growth rate)</t>
  </si>
  <si>
    <t>Zhu17</t>
  </si>
  <si>
    <t>From lowest T to T closeset to optimal T (w/highest growth)</t>
  </si>
  <si>
    <t>Phase</t>
  </si>
  <si>
    <t>Removed all the data set with no error bars or if the total number of sample size (replicate) Is less than 2</t>
  </si>
  <si>
    <t>Es_id</t>
  </si>
  <si>
    <t>Temperature (degC) used for cultivation</t>
  </si>
  <si>
    <t>Temp</t>
  </si>
  <si>
    <t>NH4NO3</t>
  </si>
  <si>
    <t>N2NO3</t>
  </si>
  <si>
    <t>N source = N2 (diazotrophic condition), max growth at 30 C, estimated SD at 30 degC by C:N * sqrt(3)</t>
  </si>
  <si>
    <t>Optimal T at 28 degC , SD not discernible from one another (no response from the corresponding author) estimated SD by  mu * sqrt(N)</t>
  </si>
  <si>
    <t>Optimal T at 26 degC , SD not discernible from one another (no response from the corresponding author) estimated SD by  mu * sqrt(N)</t>
  </si>
  <si>
    <t>Optimal T at 24 degC , SD not discernible from one another (no response from the corresponding author) estimated SD by  mu * sqrt(N)</t>
  </si>
  <si>
    <t>Optimal T at 30 degC , SD not discernible from one another (no response from the corresponding author) estimated SD by  mu * sqrt(N)</t>
  </si>
  <si>
    <t>E</t>
  </si>
  <si>
    <t>Compare control (w/higher growth rate) and P-limited</t>
  </si>
  <si>
    <t>Phase at which the cells are harvested for measurement (Lag (L), Exponential (E), Stationary (S), Decline (D) for a treatment phase (i.e., with highest growth rate)</t>
  </si>
  <si>
    <t>DeLaRocha00</t>
  </si>
  <si>
    <t>FeT in nM, compare "-Fe" and "Complete"</t>
  </si>
  <si>
    <t>Greene91</t>
  </si>
  <si>
    <t>﻿Phaeodactylum tricornutum</t>
  </si>
  <si>
    <t>Compare "Fe-deficient" and "Fe-replete"</t>
  </si>
  <si>
    <t>When multiple time values are reported for nutrient limitation use the last reported timestep value.Assumes that once it reaches the steady-state, C:N:P won't change</t>
  </si>
  <si>
    <t>Units: uM for P (uM), N (uM), I (umol photons m-2 s-1 = photon flux density, PFD), T 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</si>
</sst>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Protection="0">
      <alignment vertical="top" wrapText="1"/>
    </xf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quotePrefix="1" applyFont="1"/>
    <xf numFmtId="1" fontId="3" fillId="0" borderId="0" xfId="0" applyNumberFormat="1" applyFont="1"/>
    <xf numFmtId="164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2" fontId="3" fillId="0" borderId="0" xfId="0" applyNumberFormat="1" applyFont="1"/>
    <xf numFmtId="0" fontId="5" fillId="0" borderId="0" xfId="0" applyFont="1"/>
  </cellXfs>
  <cellStyles count="2">
    <cellStyle name="Normal" xfId="0" builtinId="0"/>
    <cellStyle name="Normal 2" xfId="1" xr:uid="{5B678D5E-2658-424A-9F46-F43BF6D35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CCC-369A-644F-B5E4-13E7DBFD663E}">
  <sheetPr codeName="Sheet1"/>
  <dimension ref="A1:B55"/>
  <sheetViews>
    <sheetView tabSelected="1" workbookViewId="0">
      <selection activeCell="A12" sqref="A12:XFD12"/>
    </sheetView>
  </sheetViews>
  <sheetFormatPr baseColWidth="10" defaultRowHeight="16" x14ac:dyDescent="0.2"/>
  <cols>
    <col min="1" max="1" width="12.83203125" customWidth="1"/>
    <col min="5" max="5" width="11.1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519</v>
      </c>
    </row>
    <row r="5" spans="1:1" x14ac:dyDescent="0.2">
      <c r="A5" t="s">
        <v>520</v>
      </c>
    </row>
    <row r="6" spans="1:1" x14ac:dyDescent="0.2">
      <c r="A6" t="s">
        <v>518</v>
      </c>
    </row>
    <row r="7" spans="1:1" x14ac:dyDescent="0.2">
      <c r="A7" t="s">
        <v>521</v>
      </c>
    </row>
    <row r="8" spans="1:1" x14ac:dyDescent="0.2">
      <c r="A8" t="s">
        <v>589</v>
      </c>
    </row>
    <row r="9" spans="1:1" x14ac:dyDescent="0.2">
      <c r="A9" t="s">
        <v>624</v>
      </c>
    </row>
    <row r="10" spans="1:1" x14ac:dyDescent="0.2">
      <c r="A10" t="s">
        <v>383</v>
      </c>
    </row>
    <row r="11" spans="1:1" x14ac:dyDescent="0.2">
      <c r="A11" t="s">
        <v>43</v>
      </c>
    </row>
    <row r="12" spans="1:1" x14ac:dyDescent="0.2">
      <c r="A12" t="s">
        <v>625</v>
      </c>
    </row>
    <row r="13" spans="1:1" x14ac:dyDescent="0.2">
      <c r="A13" t="s">
        <v>511</v>
      </c>
    </row>
    <row r="14" spans="1:1" x14ac:dyDescent="0.2">
      <c r="A14" t="s">
        <v>578</v>
      </c>
    </row>
    <row r="15" spans="1:1" x14ac:dyDescent="0.2">
      <c r="A15" t="s">
        <v>579</v>
      </c>
    </row>
    <row r="16" spans="1:1" x14ac:dyDescent="0.2">
      <c r="A16" t="s">
        <v>605</v>
      </c>
    </row>
    <row r="17" spans="1:2" x14ac:dyDescent="0.2">
      <c r="A17" s="1" t="s">
        <v>9</v>
      </c>
    </row>
    <row r="18" spans="1:2" x14ac:dyDescent="0.2">
      <c r="A18" t="s">
        <v>10</v>
      </c>
      <c r="B18" t="s">
        <v>11</v>
      </c>
    </row>
    <row r="19" spans="1:2" x14ac:dyDescent="0.2">
      <c r="A19" t="s">
        <v>12</v>
      </c>
      <c r="B19" t="s">
        <v>13</v>
      </c>
    </row>
    <row r="20" spans="1:2" x14ac:dyDescent="0.2">
      <c r="A20" t="s">
        <v>15</v>
      </c>
      <c r="B20" t="s">
        <v>16</v>
      </c>
    </row>
    <row r="21" spans="1:2" x14ac:dyDescent="0.2">
      <c r="A21" t="s">
        <v>77</v>
      </c>
      <c r="B21" t="s">
        <v>79</v>
      </c>
    </row>
    <row r="22" spans="1:2" x14ac:dyDescent="0.2">
      <c r="A22" t="s">
        <v>14</v>
      </c>
      <c r="B22" t="s">
        <v>149</v>
      </c>
    </row>
    <row r="23" spans="1:2" x14ac:dyDescent="0.2">
      <c r="A23" t="s">
        <v>17</v>
      </c>
      <c r="B23" t="s">
        <v>18</v>
      </c>
    </row>
    <row r="24" spans="1:2" x14ac:dyDescent="0.2">
      <c r="A24" t="s">
        <v>19</v>
      </c>
      <c r="B24" t="s">
        <v>20</v>
      </c>
    </row>
    <row r="25" spans="1:2" x14ac:dyDescent="0.2">
      <c r="A25" t="s">
        <v>21</v>
      </c>
      <c r="B25" t="s">
        <v>22</v>
      </c>
    </row>
    <row r="26" spans="1:2" x14ac:dyDescent="0.2">
      <c r="A26" t="s">
        <v>23</v>
      </c>
      <c r="B26" t="s">
        <v>24</v>
      </c>
    </row>
    <row r="27" spans="1:2" x14ac:dyDescent="0.2">
      <c r="A27" t="s">
        <v>25</v>
      </c>
      <c r="B27" t="s">
        <v>26</v>
      </c>
    </row>
    <row r="28" spans="1:2" x14ac:dyDescent="0.2">
      <c r="A28" t="s">
        <v>27</v>
      </c>
      <c r="B28" t="s">
        <v>32</v>
      </c>
    </row>
    <row r="29" spans="1:2" x14ac:dyDescent="0.2">
      <c r="A29" t="s">
        <v>28</v>
      </c>
      <c r="B29" t="s">
        <v>30</v>
      </c>
    </row>
    <row r="30" spans="1:2" x14ac:dyDescent="0.2">
      <c r="A30" t="s">
        <v>29</v>
      </c>
      <c r="B30" t="s">
        <v>31</v>
      </c>
    </row>
    <row r="31" spans="1:2" x14ac:dyDescent="0.2">
      <c r="A31" t="s">
        <v>62</v>
      </c>
      <c r="B31" t="s">
        <v>65</v>
      </c>
    </row>
    <row r="32" spans="1:2" x14ac:dyDescent="0.2">
      <c r="A32" t="s">
        <v>63</v>
      </c>
      <c r="B32" t="s">
        <v>66</v>
      </c>
    </row>
    <row r="33" spans="1:2" x14ac:dyDescent="0.2">
      <c r="A33" t="s">
        <v>8</v>
      </c>
      <c r="B33" t="s">
        <v>343</v>
      </c>
    </row>
    <row r="34" spans="1:2" x14ac:dyDescent="0.2">
      <c r="A34" t="s">
        <v>604</v>
      </c>
      <c r="B34" t="s">
        <v>618</v>
      </c>
    </row>
    <row r="35" spans="1:2" x14ac:dyDescent="0.2">
      <c r="A35" t="s">
        <v>48</v>
      </c>
      <c r="B35" t="s">
        <v>49</v>
      </c>
    </row>
    <row r="36" spans="1:2" x14ac:dyDescent="0.2">
      <c r="A36" s="3" t="s">
        <v>64</v>
      </c>
      <c r="B36" s="3" t="s">
        <v>55</v>
      </c>
    </row>
    <row r="37" spans="1:2" x14ac:dyDescent="0.2">
      <c r="A37" t="s">
        <v>608</v>
      </c>
      <c r="B37" t="s">
        <v>607</v>
      </c>
    </row>
    <row r="38" spans="1:2" x14ac:dyDescent="0.2">
      <c r="A38" t="s">
        <v>41</v>
      </c>
      <c r="B38" t="s">
        <v>118</v>
      </c>
    </row>
    <row r="39" spans="1:2" x14ac:dyDescent="0.2">
      <c r="A39" t="s">
        <v>33</v>
      </c>
      <c r="B39" t="s">
        <v>67</v>
      </c>
    </row>
    <row r="40" spans="1:2" x14ac:dyDescent="0.2">
      <c r="A40" t="s">
        <v>113</v>
      </c>
      <c r="B40" t="s">
        <v>114</v>
      </c>
    </row>
    <row r="41" spans="1:2" x14ac:dyDescent="0.2">
      <c r="A41" t="s">
        <v>36</v>
      </c>
      <c r="B41" t="s">
        <v>37</v>
      </c>
    </row>
    <row r="42" spans="1:2" x14ac:dyDescent="0.2">
      <c r="A42" t="s">
        <v>34</v>
      </c>
      <c r="B42" t="s">
        <v>35</v>
      </c>
    </row>
    <row r="43" spans="1:2" x14ac:dyDescent="0.2">
      <c r="A43" t="s">
        <v>38</v>
      </c>
      <c r="B43" t="s">
        <v>99</v>
      </c>
    </row>
    <row r="44" spans="1:2" x14ac:dyDescent="0.2">
      <c r="A44" t="s">
        <v>39</v>
      </c>
      <c r="B44" t="s">
        <v>40</v>
      </c>
    </row>
    <row r="45" spans="1:2" x14ac:dyDescent="0.2">
      <c r="A45" t="s">
        <v>96</v>
      </c>
      <c r="B45" t="s">
        <v>97</v>
      </c>
    </row>
    <row r="46" spans="1:2" x14ac:dyDescent="0.2">
      <c r="A46" t="s">
        <v>115</v>
      </c>
      <c r="B46" t="s">
        <v>226</v>
      </c>
    </row>
    <row r="47" spans="1:2" ht="18" customHeight="1" x14ac:dyDescent="0.2">
      <c r="A47" t="s">
        <v>44</v>
      </c>
      <c r="B47" t="s">
        <v>45</v>
      </c>
    </row>
    <row r="48" spans="1:2" ht="18" customHeight="1" x14ac:dyDescent="0.2">
      <c r="A48" t="s">
        <v>46</v>
      </c>
      <c r="B48" t="s">
        <v>47</v>
      </c>
    </row>
    <row r="49" spans="1:2" x14ac:dyDescent="0.2">
      <c r="A49" t="s">
        <v>60</v>
      </c>
      <c r="B49" t="s">
        <v>61</v>
      </c>
    </row>
    <row r="50" spans="1:2" x14ac:dyDescent="0.2">
      <c r="A50" t="s">
        <v>50</v>
      </c>
      <c r="B50" t="s">
        <v>51</v>
      </c>
    </row>
    <row r="51" spans="1:2" x14ac:dyDescent="0.2">
      <c r="A51" t="s">
        <v>52</v>
      </c>
      <c r="B51" t="s">
        <v>53</v>
      </c>
    </row>
    <row r="52" spans="1:2" x14ac:dyDescent="0.2">
      <c r="A52" t="s">
        <v>59</v>
      </c>
      <c r="B52" t="s">
        <v>59</v>
      </c>
    </row>
    <row r="55" spans="1:2" x14ac:dyDescent="0.2">
      <c r="A5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04C5-04D5-3F4B-AC39-511C7CB82821}">
  <sheetPr codeName="Sheet2"/>
  <dimension ref="A1:AH107"/>
  <sheetViews>
    <sheetView topLeftCell="A56" zoomScale="85" zoomScaleNormal="85" workbookViewId="0">
      <selection activeCell="A2" sqref="A2:A107"/>
    </sheetView>
  </sheetViews>
  <sheetFormatPr baseColWidth="10" defaultRowHeight="14" x14ac:dyDescent="0.2"/>
  <cols>
    <col min="1" max="1" width="10.83203125" style="2"/>
    <col min="2" max="2" width="14.1640625" style="2" bestFit="1" customWidth="1"/>
    <col min="3" max="3" width="29.1640625" style="2" bestFit="1" customWidth="1"/>
    <col min="4" max="4" width="10.5" style="2" customWidth="1"/>
    <col min="5" max="5" width="3.6640625" style="2" bestFit="1" customWidth="1"/>
    <col min="6" max="6" width="6.6640625" style="2" bestFit="1" customWidth="1"/>
    <col min="7" max="7" width="5.5" style="2" customWidth="1"/>
    <col min="8" max="8" width="6.5" style="2" customWidth="1"/>
    <col min="9" max="10" width="7.1640625" style="4" bestFit="1" customWidth="1"/>
    <col min="11" max="11" width="3.6640625" style="6" bestFit="1" customWidth="1"/>
    <col min="12" max="13" width="5.6640625" style="4" bestFit="1" customWidth="1"/>
    <col min="14" max="14" width="3.1640625" style="2" bestFit="1" customWidth="1"/>
    <col min="15" max="15" width="5.1640625" style="2" bestFit="1" customWidth="1"/>
    <col min="16" max="16" width="5.1640625" style="2" customWidth="1"/>
    <col min="17" max="18" width="5" style="2" bestFit="1" customWidth="1"/>
    <col min="19" max="19" width="5.6640625" style="2" bestFit="1" customWidth="1"/>
    <col min="20" max="20" width="5" style="2" bestFit="1" customWidth="1"/>
    <col min="21" max="21" width="5.33203125" style="2" bestFit="1" customWidth="1"/>
    <col min="22" max="22" width="4" style="2" customWidth="1"/>
    <col min="23" max="23" width="5" style="2" bestFit="1" customWidth="1"/>
    <col min="24" max="24" width="4.1640625" style="2" customWidth="1"/>
    <col min="25" max="25" width="3.83203125" style="2" customWidth="1"/>
    <col min="26" max="26" width="6.83203125" style="2" bestFit="1" customWidth="1"/>
    <col min="27" max="27" width="9.1640625" style="2" bestFit="1" customWidth="1"/>
    <col min="28" max="28" width="5.5" style="2" bestFit="1" customWidth="1"/>
    <col min="29" max="29" width="9.1640625" style="2" customWidth="1"/>
    <col min="30" max="30" width="7.5" style="2" bestFit="1" customWidth="1"/>
    <col min="31" max="31" width="3.5" style="2" bestFit="1" customWidth="1"/>
    <col min="32" max="32" width="6.6640625" style="2" bestFit="1" customWidth="1"/>
    <col min="33" max="33" width="8" style="2" bestFit="1" customWidth="1"/>
    <col min="34" max="34" width="5" style="2" bestFit="1" customWidth="1"/>
    <col min="35" max="16384" width="10.83203125" style="2"/>
  </cols>
  <sheetData>
    <row r="1" spans="1:34" x14ac:dyDescent="0.2">
      <c r="A1" s="2" t="s">
        <v>606</v>
      </c>
      <c r="B1" s="2" t="s">
        <v>10</v>
      </c>
      <c r="C1" s="2" t="s">
        <v>12</v>
      </c>
      <c r="D1" s="2" t="s">
        <v>15</v>
      </c>
      <c r="E1" s="2" t="s">
        <v>54</v>
      </c>
      <c r="F1" s="2" t="s">
        <v>77</v>
      </c>
      <c r="G1" s="2" t="s">
        <v>17</v>
      </c>
      <c r="H1" s="2" t="s">
        <v>19</v>
      </c>
      <c r="I1" s="4" t="s">
        <v>21</v>
      </c>
      <c r="J1" s="4" t="s">
        <v>23</v>
      </c>
      <c r="K1" s="6" t="s">
        <v>25</v>
      </c>
      <c r="L1" s="4" t="s">
        <v>27</v>
      </c>
      <c r="M1" s="4" t="s">
        <v>28</v>
      </c>
      <c r="N1" s="2" t="s">
        <v>29</v>
      </c>
      <c r="O1" s="2" t="s">
        <v>8</v>
      </c>
      <c r="P1" s="2" t="s">
        <v>604</v>
      </c>
      <c r="Q1" s="2" t="s">
        <v>48</v>
      </c>
      <c r="R1" s="2" t="s">
        <v>63</v>
      </c>
      <c r="S1" s="2" t="s">
        <v>64</v>
      </c>
      <c r="T1" s="2" t="s">
        <v>608</v>
      </c>
      <c r="U1" s="2" t="s">
        <v>41</v>
      </c>
      <c r="V1" s="2" t="s">
        <v>33</v>
      </c>
      <c r="W1" s="2" t="s">
        <v>113</v>
      </c>
      <c r="X1" s="2" t="s">
        <v>36</v>
      </c>
      <c r="Y1" s="2" t="s">
        <v>34</v>
      </c>
      <c r="Z1" s="2" t="s">
        <v>57</v>
      </c>
      <c r="AA1" s="2" t="s">
        <v>58</v>
      </c>
      <c r="AB1" s="2" t="s">
        <v>96</v>
      </c>
      <c r="AC1" s="2" t="s">
        <v>115</v>
      </c>
      <c r="AD1" s="2" t="s">
        <v>44</v>
      </c>
      <c r="AE1" s="2" t="s">
        <v>46</v>
      </c>
      <c r="AF1" s="2" t="s">
        <v>50</v>
      </c>
      <c r="AG1" s="2" t="s">
        <v>52</v>
      </c>
      <c r="AH1" s="2" t="s">
        <v>59</v>
      </c>
    </row>
    <row r="2" spans="1:34" x14ac:dyDescent="0.2">
      <c r="A2" s="2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78</v>
      </c>
      <c r="G2" s="2">
        <v>0.375</v>
      </c>
      <c r="H2" s="2">
        <v>3.8</v>
      </c>
      <c r="I2" s="4">
        <v>516</v>
      </c>
      <c r="J2" s="4">
        <v>267</v>
      </c>
      <c r="K2" s="6">
        <v>30</v>
      </c>
      <c r="L2" s="4">
        <v>184</v>
      </c>
      <c r="M2" s="4">
        <v>25</v>
      </c>
      <c r="N2" s="2">
        <v>30</v>
      </c>
      <c r="O2" s="2" t="s">
        <v>75</v>
      </c>
      <c r="R2" s="2" t="s">
        <v>73</v>
      </c>
      <c r="S2" s="2" t="s">
        <v>73</v>
      </c>
      <c r="T2" s="2">
        <v>18</v>
      </c>
      <c r="V2" s="2">
        <v>53</v>
      </c>
      <c r="W2" s="2" t="s">
        <v>73</v>
      </c>
      <c r="X2" s="2">
        <v>16</v>
      </c>
      <c r="Y2" s="2">
        <v>35</v>
      </c>
      <c r="Z2" s="2" t="s">
        <v>98</v>
      </c>
      <c r="AC2" s="2" t="s">
        <v>116</v>
      </c>
      <c r="AF2" s="2" t="s">
        <v>72</v>
      </c>
      <c r="AG2" s="2" t="s">
        <v>73</v>
      </c>
      <c r="AH2" s="2" t="s">
        <v>76</v>
      </c>
    </row>
    <row r="3" spans="1:34" x14ac:dyDescent="0.2">
      <c r="A3" s="2">
        <v>2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80</v>
      </c>
      <c r="G3" s="2">
        <v>0.375</v>
      </c>
      <c r="H3" s="2">
        <v>3.8</v>
      </c>
      <c r="I3" s="4">
        <v>10</v>
      </c>
      <c r="J3" s="4">
        <v>1.4</v>
      </c>
      <c r="K3" s="6">
        <v>30</v>
      </c>
      <c r="L3" s="4">
        <v>8.8000000000000007</v>
      </c>
      <c r="M3" s="4">
        <v>2.5</v>
      </c>
      <c r="N3" s="2">
        <v>30</v>
      </c>
      <c r="O3" s="2" t="s">
        <v>75</v>
      </c>
      <c r="R3" s="2" t="s">
        <v>73</v>
      </c>
      <c r="S3" s="2" t="s">
        <v>73</v>
      </c>
      <c r="T3" s="2">
        <v>18</v>
      </c>
      <c r="V3" s="2">
        <v>53</v>
      </c>
      <c r="W3" s="2" t="s">
        <v>73</v>
      </c>
      <c r="X3" s="2">
        <v>16</v>
      </c>
      <c r="Y3" s="2">
        <v>35</v>
      </c>
      <c r="Z3" s="2" t="s">
        <v>98</v>
      </c>
      <c r="AC3" s="2" t="s">
        <v>116</v>
      </c>
      <c r="AF3" s="2" t="s">
        <v>72</v>
      </c>
      <c r="AG3" s="2" t="s">
        <v>73</v>
      </c>
      <c r="AH3" s="2" t="s">
        <v>76</v>
      </c>
    </row>
    <row r="4" spans="1:34" x14ac:dyDescent="0.2">
      <c r="A4" s="2">
        <v>3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78</v>
      </c>
      <c r="G4" s="2">
        <v>1</v>
      </c>
      <c r="H4" s="2">
        <v>50</v>
      </c>
      <c r="I4" s="4">
        <v>723</v>
      </c>
      <c r="J4" s="4">
        <v>61</v>
      </c>
      <c r="K4" s="6">
        <v>18</v>
      </c>
      <c r="L4" s="4">
        <v>130</v>
      </c>
      <c r="M4" s="4">
        <v>19</v>
      </c>
      <c r="N4" s="2">
        <v>18</v>
      </c>
      <c r="O4" s="2" t="s">
        <v>95</v>
      </c>
      <c r="P4" s="2" t="s">
        <v>616</v>
      </c>
      <c r="R4" s="2" t="s">
        <v>73</v>
      </c>
      <c r="S4" s="2" t="s">
        <v>73</v>
      </c>
      <c r="T4" s="2">
        <v>22</v>
      </c>
      <c r="V4" s="2">
        <v>30</v>
      </c>
      <c r="W4" s="2" t="s">
        <v>73</v>
      </c>
      <c r="X4" s="2">
        <v>24</v>
      </c>
      <c r="Z4" s="2" t="s">
        <v>98</v>
      </c>
      <c r="AB4" s="2" t="s">
        <v>87</v>
      </c>
      <c r="AC4" s="2" t="s">
        <v>117</v>
      </c>
      <c r="AF4" s="2" t="s">
        <v>94</v>
      </c>
      <c r="AG4" s="2" t="s">
        <v>73</v>
      </c>
      <c r="AH4" s="2" t="s">
        <v>539</v>
      </c>
    </row>
    <row r="5" spans="1:34" x14ac:dyDescent="0.2">
      <c r="A5" s="2">
        <v>4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80</v>
      </c>
      <c r="G5" s="2">
        <v>1</v>
      </c>
      <c r="H5" s="2">
        <v>50</v>
      </c>
      <c r="I5" s="4">
        <v>7.5</v>
      </c>
      <c r="J5" s="4">
        <v>0.8</v>
      </c>
      <c r="K5" s="6">
        <v>18</v>
      </c>
      <c r="L5" s="4">
        <v>5.4</v>
      </c>
      <c r="M5" s="4">
        <v>1.1000000000000001</v>
      </c>
      <c r="N5" s="2">
        <v>18</v>
      </c>
      <c r="O5" s="2" t="s">
        <v>95</v>
      </c>
      <c r="P5" s="2" t="s">
        <v>616</v>
      </c>
      <c r="R5" s="2" t="s">
        <v>73</v>
      </c>
      <c r="S5" s="2" t="s">
        <v>73</v>
      </c>
      <c r="T5" s="2">
        <v>22</v>
      </c>
      <c r="V5" s="2">
        <v>30</v>
      </c>
      <c r="W5" s="2" t="s">
        <v>73</v>
      </c>
      <c r="X5" s="2">
        <v>24</v>
      </c>
      <c r="Z5" s="2" t="s">
        <v>98</v>
      </c>
      <c r="AB5" s="2" t="s">
        <v>87</v>
      </c>
      <c r="AC5" s="2" t="s">
        <v>117</v>
      </c>
      <c r="AF5" s="2" t="s">
        <v>94</v>
      </c>
      <c r="AG5" s="2" t="s">
        <v>73</v>
      </c>
      <c r="AH5" s="2" t="s">
        <v>539</v>
      </c>
    </row>
    <row r="6" spans="1:34" x14ac:dyDescent="0.2">
      <c r="A6" s="2">
        <v>5</v>
      </c>
      <c r="B6" s="2" t="s">
        <v>90</v>
      </c>
      <c r="C6" s="2" t="s">
        <v>100</v>
      </c>
      <c r="D6" s="2" t="s">
        <v>92</v>
      </c>
      <c r="E6" s="2" t="s">
        <v>93</v>
      </c>
      <c r="F6" s="2" t="s">
        <v>78</v>
      </c>
      <c r="G6" s="2">
        <v>1</v>
      </c>
      <c r="H6" s="2">
        <v>50</v>
      </c>
      <c r="I6" s="4">
        <v>779</v>
      </c>
      <c r="J6" s="4">
        <v>122</v>
      </c>
      <c r="K6" s="6">
        <v>18</v>
      </c>
      <c r="L6" s="4">
        <v>165</v>
      </c>
      <c r="M6" s="4">
        <v>8</v>
      </c>
      <c r="N6" s="2">
        <v>18</v>
      </c>
      <c r="O6" s="2" t="s">
        <v>95</v>
      </c>
      <c r="P6" s="2" t="s">
        <v>616</v>
      </c>
      <c r="R6" s="2" t="s">
        <v>73</v>
      </c>
      <c r="S6" s="2" t="s">
        <v>73</v>
      </c>
      <c r="T6" s="2">
        <v>22</v>
      </c>
      <c r="V6" s="2">
        <v>30</v>
      </c>
      <c r="W6" s="2" t="s">
        <v>73</v>
      </c>
      <c r="X6" s="2">
        <v>24</v>
      </c>
      <c r="Z6" s="2" t="s">
        <v>98</v>
      </c>
      <c r="AB6" s="2" t="s">
        <v>87</v>
      </c>
      <c r="AC6" s="2" t="s">
        <v>117</v>
      </c>
      <c r="AF6" s="2" t="s">
        <v>94</v>
      </c>
      <c r="AG6" s="2" t="s">
        <v>73</v>
      </c>
      <c r="AH6" s="2" t="s">
        <v>539</v>
      </c>
    </row>
    <row r="7" spans="1:34" x14ac:dyDescent="0.2">
      <c r="A7" s="2">
        <v>6</v>
      </c>
      <c r="B7" s="2" t="s">
        <v>90</v>
      </c>
      <c r="C7" s="2" t="s">
        <v>100</v>
      </c>
      <c r="D7" s="2" t="s">
        <v>92</v>
      </c>
      <c r="E7" s="2" t="s">
        <v>93</v>
      </c>
      <c r="F7" s="2" t="s">
        <v>80</v>
      </c>
      <c r="G7" s="2">
        <v>1</v>
      </c>
      <c r="H7" s="2">
        <v>50</v>
      </c>
      <c r="I7" s="4">
        <v>7.1</v>
      </c>
      <c r="J7" s="4">
        <v>0.9</v>
      </c>
      <c r="K7" s="6">
        <v>18</v>
      </c>
      <c r="L7" s="4">
        <v>5</v>
      </c>
      <c r="M7" s="4">
        <v>0.2</v>
      </c>
      <c r="N7" s="2">
        <v>18</v>
      </c>
      <c r="O7" s="2" t="s">
        <v>95</v>
      </c>
      <c r="P7" s="2" t="s">
        <v>616</v>
      </c>
      <c r="R7" s="2" t="s">
        <v>73</v>
      </c>
      <c r="S7" s="2" t="s">
        <v>73</v>
      </c>
      <c r="T7" s="2">
        <v>22</v>
      </c>
      <c r="V7" s="2">
        <v>30</v>
      </c>
      <c r="W7" s="2" t="s">
        <v>73</v>
      </c>
      <c r="X7" s="2">
        <v>24</v>
      </c>
      <c r="Z7" s="2" t="s">
        <v>98</v>
      </c>
      <c r="AB7" s="2" t="s">
        <v>87</v>
      </c>
      <c r="AC7" s="2" t="s">
        <v>117</v>
      </c>
      <c r="AF7" s="2" t="s">
        <v>94</v>
      </c>
      <c r="AG7" s="2" t="s">
        <v>73</v>
      </c>
      <c r="AH7" s="2" t="s">
        <v>539</v>
      </c>
    </row>
    <row r="8" spans="1:34" x14ac:dyDescent="0.2">
      <c r="A8" s="2">
        <v>7</v>
      </c>
      <c r="B8" s="2" t="s">
        <v>90</v>
      </c>
      <c r="C8" s="2" t="s">
        <v>101</v>
      </c>
      <c r="D8" s="2" t="s">
        <v>92</v>
      </c>
      <c r="E8" s="2" t="s">
        <v>93</v>
      </c>
      <c r="F8" s="2" t="s">
        <v>78</v>
      </c>
      <c r="G8" s="2">
        <v>1</v>
      </c>
      <c r="H8" s="2">
        <v>50</v>
      </c>
      <c r="I8" s="4">
        <v>464</v>
      </c>
      <c r="J8" s="4">
        <v>28</v>
      </c>
      <c r="K8" s="6">
        <v>18</v>
      </c>
      <c r="L8" s="4">
        <v>121</v>
      </c>
      <c r="M8" s="4">
        <v>17</v>
      </c>
      <c r="N8" s="2">
        <v>18</v>
      </c>
      <c r="O8" s="2" t="s">
        <v>95</v>
      </c>
      <c r="P8" s="2" t="s">
        <v>616</v>
      </c>
      <c r="R8" s="2" t="s">
        <v>73</v>
      </c>
      <c r="S8" s="2" t="s">
        <v>73</v>
      </c>
      <c r="T8" s="2">
        <v>22</v>
      </c>
      <c r="V8" s="2">
        <v>30</v>
      </c>
      <c r="W8" s="2" t="s">
        <v>73</v>
      </c>
      <c r="X8" s="2">
        <v>24</v>
      </c>
      <c r="Z8" s="2" t="s">
        <v>98</v>
      </c>
      <c r="AB8" s="2" t="s">
        <v>87</v>
      </c>
      <c r="AC8" s="2" t="s">
        <v>117</v>
      </c>
      <c r="AF8" s="2" t="s">
        <v>94</v>
      </c>
      <c r="AG8" s="2" t="s">
        <v>73</v>
      </c>
      <c r="AH8" s="2" t="s">
        <v>539</v>
      </c>
    </row>
    <row r="9" spans="1:34" x14ac:dyDescent="0.2">
      <c r="A9" s="2">
        <v>8</v>
      </c>
      <c r="B9" s="2" t="s">
        <v>90</v>
      </c>
      <c r="C9" s="2" t="s">
        <v>101</v>
      </c>
      <c r="D9" s="2" t="s">
        <v>92</v>
      </c>
      <c r="E9" s="2" t="s">
        <v>93</v>
      </c>
      <c r="F9" s="2" t="s">
        <v>80</v>
      </c>
      <c r="G9" s="2">
        <v>1</v>
      </c>
      <c r="H9" s="2">
        <v>50</v>
      </c>
      <c r="I9" s="4">
        <v>7.4</v>
      </c>
      <c r="J9" s="4">
        <v>0.2</v>
      </c>
      <c r="K9" s="6">
        <v>18</v>
      </c>
      <c r="L9" s="4">
        <v>5.7</v>
      </c>
      <c r="M9" s="4">
        <v>0.7</v>
      </c>
      <c r="N9" s="2">
        <v>18</v>
      </c>
      <c r="O9" s="2" t="s">
        <v>95</v>
      </c>
      <c r="P9" s="2" t="s">
        <v>616</v>
      </c>
      <c r="R9" s="2" t="s">
        <v>73</v>
      </c>
      <c r="S9" s="2" t="s">
        <v>73</v>
      </c>
      <c r="T9" s="2">
        <v>22</v>
      </c>
      <c r="V9" s="2">
        <v>30</v>
      </c>
      <c r="W9" s="2" t="s">
        <v>73</v>
      </c>
      <c r="X9" s="2">
        <v>24</v>
      </c>
      <c r="Z9" s="2" t="s">
        <v>98</v>
      </c>
      <c r="AB9" s="2" t="s">
        <v>87</v>
      </c>
      <c r="AC9" s="2" t="s">
        <v>117</v>
      </c>
      <c r="AF9" s="2" t="s">
        <v>94</v>
      </c>
      <c r="AG9" s="2" t="s">
        <v>73</v>
      </c>
      <c r="AH9" s="2" t="s">
        <v>539</v>
      </c>
    </row>
    <row r="10" spans="1:34" x14ac:dyDescent="0.2">
      <c r="A10" s="2">
        <v>9</v>
      </c>
      <c r="B10" s="2" t="s">
        <v>119</v>
      </c>
      <c r="C10" s="2" t="s">
        <v>236</v>
      </c>
      <c r="D10" s="2" t="s">
        <v>121</v>
      </c>
      <c r="E10" s="2" t="s">
        <v>122</v>
      </c>
      <c r="F10" s="2" t="s">
        <v>78</v>
      </c>
      <c r="G10" s="2">
        <v>1.4</v>
      </c>
      <c r="H10" s="2">
        <v>3.6</v>
      </c>
      <c r="I10" s="4">
        <v>545.72199999999998</v>
      </c>
      <c r="J10" s="4">
        <v>17.109000000000002</v>
      </c>
      <c r="K10" s="6">
        <v>3</v>
      </c>
      <c r="L10" s="4">
        <v>288.55399999999997</v>
      </c>
      <c r="M10" s="4">
        <v>6.2110000000000003</v>
      </c>
      <c r="N10" s="2">
        <v>3</v>
      </c>
      <c r="O10" s="2" t="s">
        <v>75</v>
      </c>
      <c r="P10" s="2" t="s">
        <v>34</v>
      </c>
      <c r="R10" s="2" t="s">
        <v>73</v>
      </c>
      <c r="S10" s="2" t="s">
        <v>73</v>
      </c>
      <c r="T10" s="2">
        <v>18</v>
      </c>
      <c r="V10" s="2">
        <v>150</v>
      </c>
      <c r="W10" s="2" t="s">
        <v>73</v>
      </c>
      <c r="X10" s="2">
        <v>16</v>
      </c>
      <c r="Y10" s="2">
        <v>37</v>
      </c>
      <c r="Z10" s="2" t="s">
        <v>98</v>
      </c>
      <c r="AC10" s="2" t="s">
        <v>116</v>
      </c>
      <c r="AF10" s="2" t="s">
        <v>123</v>
      </c>
      <c r="AG10" s="2" t="s">
        <v>73</v>
      </c>
      <c r="AH10" s="2" t="s">
        <v>128</v>
      </c>
    </row>
    <row r="11" spans="1:34" x14ac:dyDescent="0.2">
      <c r="A11" s="2">
        <v>10</v>
      </c>
      <c r="B11" s="2" t="s">
        <v>119</v>
      </c>
      <c r="C11" s="2" t="s">
        <v>236</v>
      </c>
      <c r="D11" s="2" t="s">
        <v>121</v>
      </c>
      <c r="E11" s="2" t="s">
        <v>122</v>
      </c>
      <c r="F11" s="2" t="s">
        <v>80</v>
      </c>
      <c r="G11" s="2">
        <v>1.4</v>
      </c>
      <c r="H11" s="2">
        <v>3.6</v>
      </c>
      <c r="I11" s="4">
        <v>9.9700000000000006</v>
      </c>
      <c r="J11" s="4">
        <v>0.18099999999999999</v>
      </c>
      <c r="K11" s="6">
        <v>3</v>
      </c>
      <c r="L11" s="4">
        <v>10.651</v>
      </c>
      <c r="M11" s="4">
        <v>0.15</v>
      </c>
      <c r="N11" s="2">
        <v>3</v>
      </c>
      <c r="O11" s="2" t="s">
        <v>75</v>
      </c>
      <c r="P11" s="2" t="s">
        <v>34</v>
      </c>
      <c r="R11" s="2" t="s">
        <v>73</v>
      </c>
      <c r="S11" s="2" t="s">
        <v>73</v>
      </c>
      <c r="T11" s="2">
        <v>18</v>
      </c>
      <c r="V11" s="2">
        <v>150</v>
      </c>
      <c r="W11" s="2" t="s">
        <v>73</v>
      </c>
      <c r="X11" s="2">
        <v>16</v>
      </c>
      <c r="Y11" s="2">
        <v>37</v>
      </c>
      <c r="Z11" s="2" t="s">
        <v>98</v>
      </c>
      <c r="AC11" s="2" t="s">
        <v>116</v>
      </c>
      <c r="AF11" s="2" t="s">
        <v>123</v>
      </c>
      <c r="AG11" s="2" t="s">
        <v>73</v>
      </c>
      <c r="AH11" s="2" t="s">
        <v>128</v>
      </c>
    </row>
    <row r="12" spans="1:34" x14ac:dyDescent="0.2">
      <c r="A12" s="2">
        <v>11</v>
      </c>
      <c r="B12" s="2" t="s">
        <v>119</v>
      </c>
      <c r="C12" s="2" t="s">
        <v>236</v>
      </c>
      <c r="D12" s="2" t="s">
        <v>121</v>
      </c>
      <c r="E12" s="2" t="s">
        <v>122</v>
      </c>
      <c r="F12" s="2" t="s">
        <v>78</v>
      </c>
      <c r="G12" s="2">
        <v>1.4</v>
      </c>
      <c r="H12" s="2">
        <v>3.6</v>
      </c>
      <c r="I12" s="4">
        <v>361.90899999999999</v>
      </c>
      <c r="J12" s="4">
        <v>6.7389999999999999</v>
      </c>
      <c r="K12" s="6">
        <v>3</v>
      </c>
      <c r="L12" s="4">
        <v>217.833</v>
      </c>
      <c r="M12" s="4">
        <v>12.86</v>
      </c>
      <c r="N12" s="2">
        <v>3</v>
      </c>
      <c r="O12" s="2" t="s">
        <v>75</v>
      </c>
      <c r="P12" s="2" t="s">
        <v>34</v>
      </c>
      <c r="R12" s="2" t="s">
        <v>73</v>
      </c>
      <c r="S12" s="2" t="s">
        <v>73</v>
      </c>
      <c r="T12" s="2">
        <v>24</v>
      </c>
      <c r="V12" s="2">
        <v>150</v>
      </c>
      <c r="W12" s="2" t="s">
        <v>73</v>
      </c>
      <c r="X12" s="2">
        <v>16</v>
      </c>
      <c r="Y12" s="2">
        <v>37</v>
      </c>
      <c r="Z12" s="2" t="s">
        <v>98</v>
      </c>
      <c r="AC12" s="2" t="s">
        <v>116</v>
      </c>
      <c r="AF12" s="2" t="s">
        <v>123</v>
      </c>
      <c r="AG12" s="2" t="s">
        <v>73</v>
      </c>
      <c r="AH12" s="2" t="s">
        <v>129</v>
      </c>
    </row>
    <row r="13" spans="1:34" x14ac:dyDescent="0.2">
      <c r="A13" s="2">
        <v>12</v>
      </c>
      <c r="B13" s="2" t="s">
        <v>119</v>
      </c>
      <c r="C13" s="2" t="s">
        <v>236</v>
      </c>
      <c r="D13" s="2" t="s">
        <v>121</v>
      </c>
      <c r="E13" s="2" t="s">
        <v>122</v>
      </c>
      <c r="F13" s="2" t="s">
        <v>80</v>
      </c>
      <c r="G13" s="2">
        <v>1.4</v>
      </c>
      <c r="H13" s="2">
        <v>3.6</v>
      </c>
      <c r="I13" s="4">
        <v>10.233000000000001</v>
      </c>
      <c r="J13" s="4">
        <v>0.124</v>
      </c>
      <c r="K13" s="6">
        <v>3</v>
      </c>
      <c r="L13" s="4">
        <v>9.0519999999999996</v>
      </c>
      <c r="M13" s="4">
        <v>0.13400000000000001</v>
      </c>
      <c r="N13" s="2">
        <v>3</v>
      </c>
      <c r="O13" s="2" t="s">
        <v>75</v>
      </c>
      <c r="P13" s="2" t="s">
        <v>34</v>
      </c>
      <c r="R13" s="2" t="s">
        <v>73</v>
      </c>
      <c r="S13" s="2" t="s">
        <v>73</v>
      </c>
      <c r="T13" s="2">
        <v>24</v>
      </c>
      <c r="V13" s="2">
        <v>150</v>
      </c>
      <c r="W13" s="2" t="s">
        <v>73</v>
      </c>
      <c r="X13" s="2">
        <v>16</v>
      </c>
      <c r="Y13" s="2">
        <v>37</v>
      </c>
      <c r="Z13" s="2" t="s">
        <v>98</v>
      </c>
      <c r="AC13" s="2" t="s">
        <v>116</v>
      </c>
      <c r="AF13" s="2" t="s">
        <v>123</v>
      </c>
      <c r="AG13" s="2" t="s">
        <v>73</v>
      </c>
      <c r="AH13" s="2" t="s">
        <v>129</v>
      </c>
    </row>
    <row r="14" spans="1:34" x14ac:dyDescent="0.2">
      <c r="A14" s="2">
        <v>13</v>
      </c>
      <c r="B14" s="2" t="s">
        <v>178</v>
      </c>
      <c r="C14" s="2" t="s">
        <v>236</v>
      </c>
      <c r="D14" s="2" t="s">
        <v>121</v>
      </c>
      <c r="E14" s="2" t="s">
        <v>122</v>
      </c>
      <c r="F14" s="2" t="s">
        <v>78</v>
      </c>
      <c r="G14" s="2">
        <v>0.4</v>
      </c>
      <c r="H14" s="2">
        <v>20</v>
      </c>
      <c r="I14" s="4">
        <v>261.67</v>
      </c>
      <c r="J14" s="4">
        <v>17.3</v>
      </c>
      <c r="K14" s="6">
        <v>3</v>
      </c>
      <c r="L14" s="4">
        <v>73.040000000000006</v>
      </c>
      <c r="M14" s="4">
        <v>3.48</v>
      </c>
      <c r="N14" s="2">
        <v>3</v>
      </c>
      <c r="O14" s="2" t="s">
        <v>75</v>
      </c>
      <c r="P14" s="2" t="s">
        <v>616</v>
      </c>
      <c r="R14" s="2" t="s">
        <v>73</v>
      </c>
      <c r="S14" s="2" t="s">
        <v>73</v>
      </c>
      <c r="T14" s="2">
        <v>14</v>
      </c>
      <c r="U14" s="2" t="s">
        <v>73</v>
      </c>
      <c r="V14" s="2">
        <v>140</v>
      </c>
      <c r="W14" s="2" t="s">
        <v>73</v>
      </c>
      <c r="X14" s="2">
        <v>12</v>
      </c>
      <c r="Y14" s="2">
        <v>34.78</v>
      </c>
      <c r="Z14" s="2" t="s">
        <v>98</v>
      </c>
      <c r="AA14" s="2">
        <v>7</v>
      </c>
      <c r="AC14" s="2" t="s">
        <v>116</v>
      </c>
      <c r="AD14" s="2">
        <v>390</v>
      </c>
      <c r="AF14" s="2" t="s">
        <v>104</v>
      </c>
      <c r="AG14" s="2" t="s">
        <v>73</v>
      </c>
      <c r="AH14" s="2" t="s">
        <v>179</v>
      </c>
    </row>
    <row r="15" spans="1:34" x14ac:dyDescent="0.2">
      <c r="A15" s="2">
        <v>14</v>
      </c>
      <c r="B15" s="2" t="s">
        <v>178</v>
      </c>
      <c r="C15" s="2" t="s">
        <v>236</v>
      </c>
      <c r="D15" s="2" t="s">
        <v>121</v>
      </c>
      <c r="E15" s="2" t="s">
        <v>122</v>
      </c>
      <c r="F15" s="2" t="s">
        <v>80</v>
      </c>
      <c r="G15" s="2">
        <v>0.4</v>
      </c>
      <c r="H15" s="2">
        <v>20</v>
      </c>
      <c r="I15" s="4">
        <v>6.32</v>
      </c>
      <c r="J15" s="4">
        <v>0.42</v>
      </c>
      <c r="K15" s="6">
        <v>3</v>
      </c>
      <c r="L15" s="4">
        <v>5.22</v>
      </c>
      <c r="M15" s="4">
        <v>0.08</v>
      </c>
      <c r="N15" s="2">
        <v>3</v>
      </c>
      <c r="O15" s="2" t="s">
        <v>75</v>
      </c>
      <c r="P15" s="2" t="s">
        <v>616</v>
      </c>
      <c r="R15" s="2" t="s">
        <v>73</v>
      </c>
      <c r="S15" s="2" t="s">
        <v>73</v>
      </c>
      <c r="T15" s="2">
        <v>14</v>
      </c>
      <c r="U15" s="2" t="s">
        <v>73</v>
      </c>
      <c r="V15" s="2">
        <v>140</v>
      </c>
      <c r="W15" s="2" t="s">
        <v>73</v>
      </c>
      <c r="X15" s="2">
        <v>12</v>
      </c>
      <c r="Y15" s="2">
        <v>34.78</v>
      </c>
      <c r="Z15" s="2" t="s">
        <v>98</v>
      </c>
      <c r="AA15" s="2">
        <v>7</v>
      </c>
      <c r="AC15" s="2" t="s">
        <v>116</v>
      </c>
      <c r="AD15" s="2">
        <v>390</v>
      </c>
      <c r="AF15" s="2" t="s">
        <v>104</v>
      </c>
      <c r="AG15" s="2" t="s">
        <v>73</v>
      </c>
      <c r="AH15" s="2" t="s">
        <v>179</v>
      </c>
    </row>
    <row r="16" spans="1:34" x14ac:dyDescent="0.2">
      <c r="A16" s="2">
        <v>15</v>
      </c>
      <c r="B16" s="2" t="s">
        <v>184</v>
      </c>
      <c r="C16" s="2" t="s">
        <v>185</v>
      </c>
      <c r="D16" s="2" t="s">
        <v>92</v>
      </c>
      <c r="E16" s="2" t="s">
        <v>150</v>
      </c>
      <c r="F16" s="2" t="s">
        <v>78</v>
      </c>
      <c r="G16" s="2">
        <v>0.2</v>
      </c>
      <c r="H16" s="2">
        <v>5</v>
      </c>
      <c r="I16" s="4">
        <v>342.69400000000002</v>
      </c>
      <c r="J16" s="4">
        <f>10.401*SQRT(3)</f>
        <v>18.01506044952389</v>
      </c>
      <c r="K16" s="6">
        <v>3</v>
      </c>
      <c r="L16" s="4">
        <v>108.274</v>
      </c>
      <c r="M16" s="4">
        <f>9.854*SQRT(3)</f>
        <v>17.067628657783715</v>
      </c>
      <c r="N16" s="2">
        <v>3</v>
      </c>
      <c r="O16" s="2" t="s">
        <v>95</v>
      </c>
      <c r="P16" s="2" t="s">
        <v>616</v>
      </c>
      <c r="R16" s="2" t="s">
        <v>73</v>
      </c>
      <c r="S16" s="2" t="s">
        <v>73</v>
      </c>
      <c r="T16" s="2">
        <v>25</v>
      </c>
      <c r="V16" s="2">
        <v>45</v>
      </c>
      <c r="W16" s="2" t="s">
        <v>73</v>
      </c>
      <c r="X16" s="2">
        <v>12</v>
      </c>
      <c r="Z16" s="2" t="s">
        <v>89</v>
      </c>
      <c r="AC16" s="2" t="s">
        <v>152</v>
      </c>
      <c r="AF16" s="2" t="s">
        <v>123</v>
      </c>
      <c r="AG16" s="2" t="s">
        <v>87</v>
      </c>
      <c r="AH16" s="2" t="s">
        <v>186</v>
      </c>
    </row>
    <row r="17" spans="1:34" x14ac:dyDescent="0.2">
      <c r="A17" s="2">
        <v>16</v>
      </c>
      <c r="B17" s="2" t="s">
        <v>184</v>
      </c>
      <c r="C17" s="2" t="s">
        <v>185</v>
      </c>
      <c r="D17" s="2" t="s">
        <v>92</v>
      </c>
      <c r="E17" s="2" t="s">
        <v>150</v>
      </c>
      <c r="F17" s="2" t="s">
        <v>80</v>
      </c>
      <c r="G17" s="2">
        <v>0.2</v>
      </c>
      <c r="H17" s="2">
        <v>5</v>
      </c>
      <c r="I17" s="4">
        <v>8.0209245172615571</v>
      </c>
      <c r="J17" s="4">
        <f>0.294309901543082*SQRT(3)</f>
        <v>0.50975970264321191</v>
      </c>
      <c r="K17" s="6">
        <v>3</v>
      </c>
      <c r="L17" s="4">
        <v>6.3492640591098342</v>
      </c>
      <c r="M17" s="4">
        <f>0.667230670835461*SQRT(3)</f>
        <v>1.1556774222552839</v>
      </c>
      <c r="N17" s="2">
        <v>3</v>
      </c>
      <c r="O17" s="2" t="s">
        <v>95</v>
      </c>
      <c r="P17" s="2" t="s">
        <v>616</v>
      </c>
      <c r="R17" s="2" t="s">
        <v>73</v>
      </c>
      <c r="S17" s="2" t="s">
        <v>73</v>
      </c>
      <c r="T17" s="2">
        <v>25</v>
      </c>
      <c r="V17" s="2">
        <v>45</v>
      </c>
      <c r="W17" s="2" t="s">
        <v>73</v>
      </c>
      <c r="X17" s="2">
        <v>12</v>
      </c>
      <c r="Z17" s="2" t="s">
        <v>89</v>
      </c>
      <c r="AC17" s="2" t="s">
        <v>152</v>
      </c>
      <c r="AF17" s="2" t="s">
        <v>123</v>
      </c>
      <c r="AG17" s="2" t="s">
        <v>87</v>
      </c>
      <c r="AH17" s="2" t="s">
        <v>186</v>
      </c>
    </row>
    <row r="18" spans="1:34" x14ac:dyDescent="0.2">
      <c r="A18" s="2">
        <v>17</v>
      </c>
      <c r="B18" s="2" t="s">
        <v>184</v>
      </c>
      <c r="C18" s="2" t="s">
        <v>187</v>
      </c>
      <c r="D18" s="2" t="s">
        <v>92</v>
      </c>
      <c r="E18" s="2" t="s">
        <v>150</v>
      </c>
      <c r="F18" s="2" t="s">
        <v>78</v>
      </c>
      <c r="G18" s="2">
        <v>0.2</v>
      </c>
      <c r="H18" s="2">
        <v>5</v>
      </c>
      <c r="I18" s="4">
        <v>392.28399999999999</v>
      </c>
      <c r="J18" s="4">
        <f>15.577*SQRT(3)</f>
        <v>26.9801554295004</v>
      </c>
      <c r="K18" s="6">
        <v>3</v>
      </c>
      <c r="L18" s="4">
        <v>104.95</v>
      </c>
      <c r="M18" s="4">
        <f>11.485*SQRT(3)</f>
        <v>19.892603524928553</v>
      </c>
      <c r="N18" s="2">
        <v>3</v>
      </c>
      <c r="O18" s="2" t="s">
        <v>95</v>
      </c>
      <c r="P18" s="2" t="s">
        <v>616</v>
      </c>
      <c r="R18" s="2" t="s">
        <v>73</v>
      </c>
      <c r="S18" s="2" t="s">
        <v>73</v>
      </c>
      <c r="T18" s="2">
        <v>25</v>
      </c>
      <c r="V18" s="2">
        <v>45</v>
      </c>
      <c r="W18" s="2" t="s">
        <v>73</v>
      </c>
      <c r="X18" s="2">
        <v>12</v>
      </c>
      <c r="Z18" s="2" t="s">
        <v>89</v>
      </c>
      <c r="AC18" s="2" t="s">
        <v>152</v>
      </c>
      <c r="AF18" s="2" t="s">
        <v>123</v>
      </c>
      <c r="AG18" s="2" t="s">
        <v>87</v>
      </c>
      <c r="AH18" s="2" t="s">
        <v>186</v>
      </c>
    </row>
    <row r="19" spans="1:34" x14ac:dyDescent="0.2">
      <c r="A19" s="2">
        <v>18</v>
      </c>
      <c r="B19" s="2" t="s">
        <v>184</v>
      </c>
      <c r="C19" s="2" t="s">
        <v>187</v>
      </c>
      <c r="D19" s="2" t="s">
        <v>92</v>
      </c>
      <c r="E19" s="2" t="s">
        <v>150</v>
      </c>
      <c r="F19" s="2" t="s">
        <v>80</v>
      </c>
      <c r="G19" s="2">
        <v>0.2</v>
      </c>
      <c r="H19" s="2">
        <v>5</v>
      </c>
      <c r="I19" s="4">
        <v>9.9833053392375426</v>
      </c>
      <c r="J19" s="4">
        <f>0.547263690467317*SQRT(3)</f>
        <v>0.94788851702704058</v>
      </c>
      <c r="K19" s="6">
        <v>3</v>
      </c>
      <c r="L19" s="4">
        <v>6.7336070832798667</v>
      </c>
      <c r="M19" s="4">
        <f>0.991351908996035*SQRT(3)</f>
        <v>1.7170718745615305</v>
      </c>
      <c r="N19" s="2">
        <v>3</v>
      </c>
      <c r="O19" s="2" t="s">
        <v>95</v>
      </c>
      <c r="P19" s="2" t="s">
        <v>616</v>
      </c>
      <c r="R19" s="2" t="s">
        <v>73</v>
      </c>
      <c r="S19" s="2" t="s">
        <v>73</v>
      </c>
      <c r="T19" s="2">
        <v>25</v>
      </c>
      <c r="V19" s="2">
        <v>45</v>
      </c>
      <c r="W19" s="2" t="s">
        <v>73</v>
      </c>
      <c r="X19" s="2">
        <v>12</v>
      </c>
      <c r="Z19" s="2" t="s">
        <v>89</v>
      </c>
      <c r="AC19" s="2" t="s">
        <v>152</v>
      </c>
      <c r="AF19" s="2" t="s">
        <v>123</v>
      </c>
      <c r="AG19" s="2" t="s">
        <v>87</v>
      </c>
      <c r="AH19" s="2" t="s">
        <v>186</v>
      </c>
    </row>
    <row r="20" spans="1:34" x14ac:dyDescent="0.2">
      <c r="A20" s="2">
        <v>19</v>
      </c>
      <c r="B20" s="2" t="s">
        <v>191</v>
      </c>
      <c r="C20" s="2" t="s">
        <v>188</v>
      </c>
      <c r="D20" s="2" t="s">
        <v>92</v>
      </c>
      <c r="E20" s="2" t="s">
        <v>93</v>
      </c>
      <c r="F20" s="2" t="s">
        <v>78</v>
      </c>
      <c r="G20" s="2">
        <v>0.02</v>
      </c>
      <c r="H20" s="2">
        <v>5</v>
      </c>
      <c r="I20" s="4">
        <v>579.78099999999995</v>
      </c>
      <c r="J20" s="4">
        <v>24.298940779383774</v>
      </c>
      <c r="K20" s="6">
        <v>3</v>
      </c>
      <c r="L20" s="4">
        <v>92.763000000000005</v>
      </c>
      <c r="M20" s="4">
        <v>20.734380217407036</v>
      </c>
      <c r="N20" s="2">
        <v>3</v>
      </c>
      <c r="O20" s="2" t="s">
        <v>75</v>
      </c>
      <c r="P20" s="2" t="s">
        <v>34</v>
      </c>
      <c r="R20" s="2" t="s">
        <v>73</v>
      </c>
      <c r="S20" s="2" t="s">
        <v>73</v>
      </c>
      <c r="T20" s="2">
        <v>22</v>
      </c>
      <c r="V20" s="2">
        <v>25</v>
      </c>
      <c r="W20" s="2" t="s">
        <v>73</v>
      </c>
      <c r="X20" s="2">
        <v>12</v>
      </c>
      <c r="Z20" s="2" t="s">
        <v>98</v>
      </c>
      <c r="AB20" s="2" t="s">
        <v>87</v>
      </c>
      <c r="AC20" s="2" t="s">
        <v>117</v>
      </c>
      <c r="AF20" s="2" t="s">
        <v>189</v>
      </c>
      <c r="AG20" s="2" t="s">
        <v>87</v>
      </c>
      <c r="AH20" s="2" t="s">
        <v>190</v>
      </c>
    </row>
    <row r="21" spans="1:34" x14ac:dyDescent="0.2">
      <c r="A21" s="2">
        <v>20</v>
      </c>
      <c r="B21" s="2" t="s">
        <v>191</v>
      </c>
      <c r="C21" s="2" t="s">
        <v>188</v>
      </c>
      <c r="D21" s="2" t="s">
        <v>92</v>
      </c>
      <c r="E21" s="2" t="s">
        <v>93</v>
      </c>
      <c r="F21" s="2" t="s">
        <v>80</v>
      </c>
      <c r="G21" s="2">
        <v>0.02</v>
      </c>
      <c r="H21" s="2">
        <v>5</v>
      </c>
      <c r="I21" s="4">
        <v>6.5777316406294313</v>
      </c>
      <c r="J21" s="4">
        <v>0.42929479508124041</v>
      </c>
      <c r="K21" s="6">
        <v>3</v>
      </c>
      <c r="L21" s="4">
        <v>5.6284812814756382</v>
      </c>
      <c r="M21" s="4">
        <v>1.8079154156693693</v>
      </c>
      <c r="N21" s="2">
        <v>3</v>
      </c>
      <c r="O21" s="2" t="s">
        <v>75</v>
      </c>
      <c r="P21" s="2" t="s">
        <v>34</v>
      </c>
      <c r="R21" s="2" t="s">
        <v>73</v>
      </c>
      <c r="S21" s="2" t="s">
        <v>73</v>
      </c>
      <c r="T21" s="2">
        <v>22</v>
      </c>
      <c r="V21" s="2">
        <v>25</v>
      </c>
      <c r="W21" s="2" t="s">
        <v>73</v>
      </c>
      <c r="X21" s="2">
        <v>12</v>
      </c>
      <c r="Z21" s="2" t="s">
        <v>98</v>
      </c>
      <c r="AB21" s="2" t="s">
        <v>87</v>
      </c>
      <c r="AC21" s="2" t="s">
        <v>117</v>
      </c>
      <c r="AF21" s="2" t="s">
        <v>189</v>
      </c>
      <c r="AG21" s="2" t="s">
        <v>87</v>
      </c>
      <c r="AH21" s="2" t="s">
        <v>190</v>
      </c>
    </row>
    <row r="22" spans="1:34" x14ac:dyDescent="0.2">
      <c r="A22" s="2">
        <v>21</v>
      </c>
      <c r="B22" s="2" t="s">
        <v>252</v>
      </c>
      <c r="C22" s="2" t="s">
        <v>253</v>
      </c>
      <c r="D22" s="2" t="s">
        <v>92</v>
      </c>
      <c r="E22" s="2" t="s">
        <v>150</v>
      </c>
      <c r="F22" s="2" t="s">
        <v>78</v>
      </c>
      <c r="G22" s="2">
        <v>0.2</v>
      </c>
      <c r="H22" s="2">
        <v>20</v>
      </c>
      <c r="I22" s="4">
        <v>199.10000000000002</v>
      </c>
      <c r="J22" s="4">
        <v>85.44</v>
      </c>
      <c r="K22" s="6">
        <v>3</v>
      </c>
      <c r="L22" s="4">
        <v>85.4</v>
      </c>
      <c r="M22" s="4">
        <v>5.0999999999999996</v>
      </c>
      <c r="N22" s="2">
        <v>3</v>
      </c>
      <c r="O22" s="2" t="s">
        <v>75</v>
      </c>
      <c r="P22" s="2" t="s">
        <v>34</v>
      </c>
      <c r="R22" s="2" t="s">
        <v>73</v>
      </c>
      <c r="S22" s="2" t="s">
        <v>73</v>
      </c>
      <c r="T22" s="2">
        <v>25</v>
      </c>
      <c r="V22" s="2">
        <v>100</v>
      </c>
      <c r="W22" s="2" t="s">
        <v>73</v>
      </c>
      <c r="X22" s="2">
        <v>12</v>
      </c>
      <c r="Z22" s="2" t="s">
        <v>98</v>
      </c>
      <c r="AA22" s="2">
        <v>7</v>
      </c>
      <c r="AC22" s="2" t="s">
        <v>152</v>
      </c>
      <c r="AD22" s="2">
        <v>380</v>
      </c>
      <c r="AF22" s="2" t="s">
        <v>104</v>
      </c>
      <c r="AG22" s="2" t="s">
        <v>73</v>
      </c>
      <c r="AH22" s="2" t="s">
        <v>540</v>
      </c>
    </row>
    <row r="23" spans="1:34" x14ac:dyDescent="0.2">
      <c r="A23" s="2">
        <v>22</v>
      </c>
      <c r="B23" s="2" t="s">
        <v>252</v>
      </c>
      <c r="C23" s="2" t="s">
        <v>253</v>
      </c>
      <c r="D23" s="2" t="s">
        <v>92</v>
      </c>
      <c r="E23" s="2" t="s">
        <v>150</v>
      </c>
      <c r="F23" s="2" t="s">
        <v>80</v>
      </c>
      <c r="G23" s="2">
        <v>0.2</v>
      </c>
      <c r="H23" s="2">
        <v>20</v>
      </c>
      <c r="I23" s="4">
        <v>5.5</v>
      </c>
      <c r="J23" s="4">
        <v>0.1</v>
      </c>
      <c r="K23" s="6">
        <v>3</v>
      </c>
      <c r="L23" s="4">
        <v>4.8</v>
      </c>
      <c r="M23" s="4">
        <v>0.1</v>
      </c>
      <c r="N23" s="2">
        <v>3</v>
      </c>
      <c r="O23" s="2" t="s">
        <v>75</v>
      </c>
      <c r="P23" s="2" t="s">
        <v>34</v>
      </c>
      <c r="R23" s="2" t="s">
        <v>73</v>
      </c>
      <c r="S23" s="2" t="s">
        <v>73</v>
      </c>
      <c r="T23" s="2">
        <v>25</v>
      </c>
      <c r="V23" s="2">
        <v>100</v>
      </c>
      <c r="W23" s="2" t="s">
        <v>73</v>
      </c>
      <c r="X23" s="2">
        <v>12</v>
      </c>
      <c r="Z23" s="2" t="s">
        <v>98</v>
      </c>
      <c r="AA23" s="2">
        <v>7</v>
      </c>
      <c r="AC23" s="2" t="s">
        <v>152</v>
      </c>
      <c r="AD23" s="2">
        <v>380</v>
      </c>
      <c r="AF23" s="2" t="s">
        <v>104</v>
      </c>
      <c r="AG23" s="2" t="s">
        <v>73</v>
      </c>
      <c r="AH23" s="2" t="s">
        <v>541</v>
      </c>
    </row>
    <row r="24" spans="1:34" x14ac:dyDescent="0.2">
      <c r="A24" s="2">
        <v>23</v>
      </c>
      <c r="B24" s="2" t="s">
        <v>252</v>
      </c>
      <c r="C24" s="2" t="s">
        <v>253</v>
      </c>
      <c r="D24" s="2" t="s">
        <v>92</v>
      </c>
      <c r="E24" s="2" t="s">
        <v>150</v>
      </c>
      <c r="F24" s="2" t="s">
        <v>78</v>
      </c>
      <c r="G24" s="2">
        <v>0.2</v>
      </c>
      <c r="H24" s="2">
        <v>20</v>
      </c>
      <c r="I24" s="4">
        <v>218.39999999999998</v>
      </c>
      <c r="J24" s="4">
        <v>35.9</v>
      </c>
      <c r="K24" s="6">
        <v>3</v>
      </c>
      <c r="L24" s="4">
        <v>95.1</v>
      </c>
      <c r="M24" s="4">
        <v>7.9</v>
      </c>
      <c r="N24" s="2">
        <v>3</v>
      </c>
      <c r="O24" s="2" t="s">
        <v>75</v>
      </c>
      <c r="P24" s="2" t="s">
        <v>34</v>
      </c>
      <c r="R24" s="2" t="s">
        <v>73</v>
      </c>
      <c r="S24" s="2" t="s">
        <v>73</v>
      </c>
      <c r="T24" s="2">
        <v>29</v>
      </c>
      <c r="V24" s="2">
        <v>100</v>
      </c>
      <c r="W24" s="2" t="s">
        <v>73</v>
      </c>
      <c r="X24" s="2">
        <v>12</v>
      </c>
      <c r="Z24" s="2" t="s">
        <v>98</v>
      </c>
      <c r="AA24" s="2">
        <v>7</v>
      </c>
      <c r="AC24" s="2" t="s">
        <v>152</v>
      </c>
      <c r="AD24" s="2">
        <v>380</v>
      </c>
      <c r="AF24" s="2" t="s">
        <v>104</v>
      </c>
      <c r="AG24" s="2" t="s">
        <v>73</v>
      </c>
      <c r="AH24" s="2" t="s">
        <v>542</v>
      </c>
    </row>
    <row r="25" spans="1:34" x14ac:dyDescent="0.2">
      <c r="A25" s="2">
        <v>24</v>
      </c>
      <c r="B25" s="2" t="s">
        <v>252</v>
      </c>
      <c r="C25" s="2" t="s">
        <v>253</v>
      </c>
      <c r="D25" s="2" t="s">
        <v>92</v>
      </c>
      <c r="E25" s="2" t="s">
        <v>150</v>
      </c>
      <c r="F25" s="2" t="s">
        <v>80</v>
      </c>
      <c r="G25" s="2">
        <v>0.2</v>
      </c>
      <c r="H25" s="2">
        <v>20</v>
      </c>
      <c r="I25" s="4">
        <v>5.6</v>
      </c>
      <c r="J25" s="4">
        <v>0.05</v>
      </c>
      <c r="K25" s="6">
        <v>3</v>
      </c>
      <c r="L25" s="4">
        <v>4.9000000000000004</v>
      </c>
      <c r="M25" s="4">
        <v>0.04</v>
      </c>
      <c r="N25" s="2">
        <v>3</v>
      </c>
      <c r="O25" s="2" t="s">
        <v>75</v>
      </c>
      <c r="P25" s="2" t="s">
        <v>34</v>
      </c>
      <c r="R25" s="2" t="s">
        <v>73</v>
      </c>
      <c r="S25" s="2" t="s">
        <v>73</v>
      </c>
      <c r="T25" s="2">
        <v>29</v>
      </c>
      <c r="V25" s="2">
        <v>100</v>
      </c>
      <c r="W25" s="2" t="s">
        <v>73</v>
      </c>
      <c r="X25" s="2">
        <v>12</v>
      </c>
      <c r="Z25" s="2" t="s">
        <v>98</v>
      </c>
      <c r="AA25" s="2">
        <v>7</v>
      </c>
      <c r="AC25" s="2" t="s">
        <v>152</v>
      </c>
      <c r="AD25" s="2">
        <v>380</v>
      </c>
      <c r="AF25" s="2" t="s">
        <v>104</v>
      </c>
      <c r="AG25" s="2" t="s">
        <v>73</v>
      </c>
      <c r="AH25" s="2" t="s">
        <v>542</v>
      </c>
    </row>
    <row r="26" spans="1:34" x14ac:dyDescent="0.2">
      <c r="A26" s="2">
        <v>25</v>
      </c>
      <c r="B26" s="2" t="s">
        <v>252</v>
      </c>
      <c r="C26" s="2" t="s">
        <v>253</v>
      </c>
      <c r="D26" s="2" t="s">
        <v>92</v>
      </c>
      <c r="E26" s="2" t="s">
        <v>150</v>
      </c>
      <c r="F26" s="2" t="s">
        <v>78</v>
      </c>
      <c r="G26" s="2">
        <v>0.2</v>
      </c>
      <c r="H26" s="2">
        <v>20</v>
      </c>
      <c r="I26" s="4">
        <v>217.4</v>
      </c>
      <c r="J26" s="4">
        <v>17.399999999999999</v>
      </c>
      <c r="K26" s="6">
        <v>3</v>
      </c>
      <c r="L26" s="4">
        <v>107</v>
      </c>
      <c r="M26" s="4">
        <v>8.8000000000000007</v>
      </c>
      <c r="N26" s="2">
        <v>3</v>
      </c>
      <c r="O26" s="2" t="s">
        <v>75</v>
      </c>
      <c r="P26" s="2" t="s">
        <v>34</v>
      </c>
      <c r="R26" s="2" t="s">
        <v>73</v>
      </c>
      <c r="S26" s="2" t="s">
        <v>73</v>
      </c>
      <c r="T26" s="2">
        <v>25</v>
      </c>
      <c r="V26" s="2">
        <v>100</v>
      </c>
      <c r="W26" s="2" t="s">
        <v>73</v>
      </c>
      <c r="X26" s="2">
        <v>12</v>
      </c>
      <c r="Z26" s="2" t="s">
        <v>98</v>
      </c>
      <c r="AA26" s="2">
        <v>7</v>
      </c>
      <c r="AC26" s="2" t="s">
        <v>152</v>
      </c>
      <c r="AD26" s="2">
        <v>750</v>
      </c>
      <c r="AF26" s="2" t="s">
        <v>104</v>
      </c>
      <c r="AG26" s="2" t="s">
        <v>73</v>
      </c>
      <c r="AH26" s="2" t="s">
        <v>543</v>
      </c>
    </row>
    <row r="27" spans="1:34" x14ac:dyDescent="0.2">
      <c r="A27" s="2">
        <v>26</v>
      </c>
      <c r="B27" s="2" t="s">
        <v>252</v>
      </c>
      <c r="C27" s="2" t="s">
        <v>253</v>
      </c>
      <c r="D27" s="2" t="s">
        <v>92</v>
      </c>
      <c r="E27" s="2" t="s">
        <v>150</v>
      </c>
      <c r="F27" s="2" t="s">
        <v>80</v>
      </c>
      <c r="G27" s="2">
        <v>0.2</v>
      </c>
      <c r="H27" s="2">
        <v>20</v>
      </c>
      <c r="I27" s="4">
        <v>4.8</v>
      </c>
      <c r="J27" s="4">
        <v>0.1</v>
      </c>
      <c r="K27" s="6">
        <v>3</v>
      </c>
      <c r="L27" s="4">
        <v>5</v>
      </c>
      <c r="M27" s="4">
        <v>0.1</v>
      </c>
      <c r="N27" s="2">
        <v>3</v>
      </c>
      <c r="O27" s="2" t="s">
        <v>75</v>
      </c>
      <c r="P27" s="2" t="s">
        <v>34</v>
      </c>
      <c r="R27" s="2" t="s">
        <v>73</v>
      </c>
      <c r="S27" s="2" t="s">
        <v>73</v>
      </c>
      <c r="T27" s="2">
        <v>25</v>
      </c>
      <c r="V27" s="2">
        <v>100</v>
      </c>
      <c r="W27" s="2" t="s">
        <v>73</v>
      </c>
      <c r="X27" s="2">
        <v>12</v>
      </c>
      <c r="Z27" s="2" t="s">
        <v>98</v>
      </c>
      <c r="AA27" s="2">
        <v>7</v>
      </c>
      <c r="AC27" s="2" t="s">
        <v>152</v>
      </c>
      <c r="AD27" s="2">
        <v>750</v>
      </c>
      <c r="AF27" s="2" t="s">
        <v>104</v>
      </c>
      <c r="AG27" s="2" t="s">
        <v>73</v>
      </c>
      <c r="AH27" s="2" t="s">
        <v>543</v>
      </c>
    </row>
    <row r="28" spans="1:34" x14ac:dyDescent="0.2">
      <c r="A28" s="2">
        <v>27</v>
      </c>
      <c r="B28" s="2" t="s">
        <v>252</v>
      </c>
      <c r="C28" s="2" t="s">
        <v>253</v>
      </c>
      <c r="D28" s="2" t="s">
        <v>92</v>
      </c>
      <c r="E28" s="2" t="s">
        <v>150</v>
      </c>
      <c r="F28" s="2" t="s">
        <v>78</v>
      </c>
      <c r="G28" s="2">
        <v>0.2</v>
      </c>
      <c r="H28" s="2">
        <v>20</v>
      </c>
      <c r="I28" s="4">
        <v>251.9</v>
      </c>
      <c r="J28" s="4">
        <v>39.6</v>
      </c>
      <c r="K28" s="6">
        <v>3</v>
      </c>
      <c r="L28" s="4">
        <v>112.8</v>
      </c>
      <c r="M28" s="4">
        <v>4.5999999999999996</v>
      </c>
      <c r="N28" s="2">
        <v>3</v>
      </c>
      <c r="O28" s="2" t="s">
        <v>75</v>
      </c>
      <c r="P28" s="2" t="s">
        <v>34</v>
      </c>
      <c r="R28" s="2" t="s">
        <v>73</v>
      </c>
      <c r="S28" s="2" t="s">
        <v>73</v>
      </c>
      <c r="T28" s="2">
        <v>29</v>
      </c>
      <c r="V28" s="2">
        <v>100</v>
      </c>
      <c r="W28" s="2" t="s">
        <v>73</v>
      </c>
      <c r="X28" s="2">
        <v>12</v>
      </c>
      <c r="Z28" s="2" t="s">
        <v>98</v>
      </c>
      <c r="AA28" s="2">
        <v>7</v>
      </c>
      <c r="AC28" s="2" t="s">
        <v>152</v>
      </c>
      <c r="AD28" s="2">
        <v>750</v>
      </c>
      <c r="AF28" s="2" t="s">
        <v>104</v>
      </c>
      <c r="AG28" s="2" t="s">
        <v>73</v>
      </c>
      <c r="AH28" s="2" t="s">
        <v>544</v>
      </c>
    </row>
    <row r="29" spans="1:34" x14ac:dyDescent="0.2">
      <c r="A29" s="2">
        <v>28</v>
      </c>
      <c r="B29" s="2" t="s">
        <v>252</v>
      </c>
      <c r="C29" s="2" t="s">
        <v>253</v>
      </c>
      <c r="D29" s="2" t="s">
        <v>92</v>
      </c>
      <c r="E29" s="2" t="s">
        <v>150</v>
      </c>
      <c r="F29" s="2" t="s">
        <v>80</v>
      </c>
      <c r="G29" s="2">
        <v>0.2</v>
      </c>
      <c r="H29" s="2">
        <v>20</v>
      </c>
      <c r="I29" s="4">
        <v>5.0999999999999996</v>
      </c>
      <c r="J29" s="4">
        <v>0.1</v>
      </c>
      <c r="K29" s="6">
        <v>3</v>
      </c>
      <c r="L29" s="4">
        <v>4.8</v>
      </c>
      <c r="M29" s="4">
        <v>0.1</v>
      </c>
      <c r="N29" s="2">
        <v>3</v>
      </c>
      <c r="O29" s="2" t="s">
        <v>75</v>
      </c>
      <c r="P29" s="2" t="s">
        <v>34</v>
      </c>
      <c r="R29" s="2" t="s">
        <v>73</v>
      </c>
      <c r="S29" s="2" t="s">
        <v>73</v>
      </c>
      <c r="T29" s="2">
        <v>29</v>
      </c>
      <c r="V29" s="2">
        <v>100</v>
      </c>
      <c r="W29" s="2" t="s">
        <v>73</v>
      </c>
      <c r="X29" s="2">
        <v>12</v>
      </c>
      <c r="Z29" s="2" t="s">
        <v>98</v>
      </c>
      <c r="AA29" s="2">
        <v>7</v>
      </c>
      <c r="AC29" s="2" t="s">
        <v>152</v>
      </c>
      <c r="AD29" s="2">
        <v>750</v>
      </c>
      <c r="AF29" s="2" t="s">
        <v>104</v>
      </c>
      <c r="AG29" s="2" t="s">
        <v>73</v>
      </c>
      <c r="AH29" s="2" t="s">
        <v>544</v>
      </c>
    </row>
    <row r="30" spans="1:34" x14ac:dyDescent="0.2">
      <c r="A30" s="2">
        <v>29</v>
      </c>
      <c r="B30" s="2" t="s">
        <v>252</v>
      </c>
      <c r="C30" s="2" t="s">
        <v>255</v>
      </c>
      <c r="D30" s="2" t="s">
        <v>92</v>
      </c>
      <c r="E30" s="2" t="s">
        <v>150</v>
      </c>
      <c r="F30" s="2" t="s">
        <v>78</v>
      </c>
      <c r="G30" s="2">
        <v>0.2</v>
      </c>
      <c r="H30" s="2">
        <v>20</v>
      </c>
      <c r="I30" s="4">
        <v>249.7</v>
      </c>
      <c r="J30" s="4">
        <v>18.2</v>
      </c>
      <c r="K30" s="6">
        <v>3</v>
      </c>
      <c r="L30" s="4">
        <v>90.3</v>
      </c>
      <c r="M30" s="4">
        <v>5.4</v>
      </c>
      <c r="N30" s="2">
        <v>3</v>
      </c>
      <c r="O30" s="2" t="s">
        <v>75</v>
      </c>
      <c r="P30" s="2" t="s">
        <v>34</v>
      </c>
      <c r="R30" s="2" t="s">
        <v>73</v>
      </c>
      <c r="S30" s="2" t="s">
        <v>73</v>
      </c>
      <c r="T30" s="2">
        <v>25</v>
      </c>
      <c r="V30" s="2">
        <v>100</v>
      </c>
      <c r="W30" s="2" t="s">
        <v>73</v>
      </c>
      <c r="X30" s="2">
        <v>12</v>
      </c>
      <c r="Z30" s="2" t="s">
        <v>98</v>
      </c>
      <c r="AA30" s="2">
        <v>7</v>
      </c>
      <c r="AC30" s="2" t="s">
        <v>152</v>
      </c>
      <c r="AD30" s="2">
        <v>380</v>
      </c>
      <c r="AF30" s="2" t="s">
        <v>104</v>
      </c>
      <c r="AG30" s="2" t="s">
        <v>73</v>
      </c>
      <c r="AH30" s="2" t="s">
        <v>540</v>
      </c>
    </row>
    <row r="31" spans="1:34" x14ac:dyDescent="0.2">
      <c r="A31" s="2">
        <v>30</v>
      </c>
      <c r="B31" s="2" t="s">
        <v>252</v>
      </c>
      <c r="C31" s="2" t="s">
        <v>255</v>
      </c>
      <c r="D31" s="2" t="s">
        <v>92</v>
      </c>
      <c r="E31" s="2" t="s">
        <v>150</v>
      </c>
      <c r="F31" s="2" t="s">
        <v>80</v>
      </c>
      <c r="G31" s="2">
        <v>0.2</v>
      </c>
      <c r="H31" s="2">
        <v>20</v>
      </c>
      <c r="I31" s="4">
        <v>5.5</v>
      </c>
      <c r="J31" s="4">
        <v>0.4</v>
      </c>
      <c r="K31" s="6">
        <v>3</v>
      </c>
      <c r="L31" s="4">
        <v>5.0999999999999996</v>
      </c>
      <c r="M31" s="4">
        <v>0.1</v>
      </c>
      <c r="N31" s="2">
        <v>3</v>
      </c>
      <c r="O31" s="2" t="s">
        <v>75</v>
      </c>
      <c r="P31" s="2" t="s">
        <v>34</v>
      </c>
      <c r="R31" s="2" t="s">
        <v>73</v>
      </c>
      <c r="S31" s="2" t="s">
        <v>73</v>
      </c>
      <c r="T31" s="2">
        <v>25</v>
      </c>
      <c r="V31" s="2">
        <v>100</v>
      </c>
      <c r="W31" s="2" t="s">
        <v>73</v>
      </c>
      <c r="X31" s="2">
        <v>12</v>
      </c>
      <c r="Z31" s="2" t="s">
        <v>98</v>
      </c>
      <c r="AA31" s="2">
        <v>7</v>
      </c>
      <c r="AC31" s="2" t="s">
        <v>152</v>
      </c>
      <c r="AD31" s="2">
        <v>380</v>
      </c>
      <c r="AF31" s="2" t="s">
        <v>104</v>
      </c>
      <c r="AG31" s="2" t="s">
        <v>73</v>
      </c>
      <c r="AH31" s="2" t="s">
        <v>541</v>
      </c>
    </row>
    <row r="32" spans="1:34" x14ac:dyDescent="0.2">
      <c r="A32" s="2">
        <v>31</v>
      </c>
      <c r="B32" s="2" t="s">
        <v>252</v>
      </c>
      <c r="C32" s="2" t="s">
        <v>255</v>
      </c>
      <c r="D32" s="2" t="s">
        <v>92</v>
      </c>
      <c r="E32" s="2" t="s">
        <v>150</v>
      </c>
      <c r="F32" s="2" t="s">
        <v>78</v>
      </c>
      <c r="G32" s="2">
        <v>0.2</v>
      </c>
      <c r="H32" s="2">
        <v>20</v>
      </c>
      <c r="I32" s="4">
        <v>260.8</v>
      </c>
      <c r="J32" s="4">
        <v>13.2</v>
      </c>
      <c r="K32" s="6">
        <v>3</v>
      </c>
      <c r="L32" s="4">
        <v>98.8</v>
      </c>
      <c r="M32" s="4">
        <v>3.6</v>
      </c>
      <c r="N32" s="2">
        <v>3</v>
      </c>
      <c r="O32" s="2" t="s">
        <v>75</v>
      </c>
      <c r="P32" s="2" t="s">
        <v>34</v>
      </c>
      <c r="R32" s="2" t="s">
        <v>73</v>
      </c>
      <c r="S32" s="2" t="s">
        <v>73</v>
      </c>
      <c r="T32" s="2">
        <v>29</v>
      </c>
      <c r="V32" s="2">
        <v>100</v>
      </c>
      <c r="W32" s="2" t="s">
        <v>73</v>
      </c>
      <c r="X32" s="2">
        <v>12</v>
      </c>
      <c r="Z32" s="2" t="s">
        <v>98</v>
      </c>
      <c r="AA32" s="2">
        <v>7</v>
      </c>
      <c r="AC32" s="2" t="s">
        <v>152</v>
      </c>
      <c r="AD32" s="2">
        <v>380</v>
      </c>
      <c r="AF32" s="2" t="s">
        <v>104</v>
      </c>
      <c r="AG32" s="2" t="s">
        <v>73</v>
      </c>
      <c r="AH32" s="2" t="s">
        <v>542</v>
      </c>
    </row>
    <row r="33" spans="1:34" x14ac:dyDescent="0.2">
      <c r="A33" s="2">
        <v>32</v>
      </c>
      <c r="B33" s="2" t="s">
        <v>252</v>
      </c>
      <c r="C33" s="2" t="s">
        <v>255</v>
      </c>
      <c r="D33" s="2" t="s">
        <v>92</v>
      </c>
      <c r="E33" s="2" t="s">
        <v>150</v>
      </c>
      <c r="F33" s="2" t="s">
        <v>80</v>
      </c>
      <c r="G33" s="2">
        <v>0.2</v>
      </c>
      <c r="H33" s="2">
        <v>20</v>
      </c>
      <c r="I33" s="4">
        <v>5.9</v>
      </c>
      <c r="J33" s="4">
        <v>0.1</v>
      </c>
      <c r="K33" s="6">
        <v>3</v>
      </c>
      <c r="L33" s="4">
        <v>5.2</v>
      </c>
      <c r="M33" s="4">
        <v>0</v>
      </c>
      <c r="N33" s="2">
        <v>3</v>
      </c>
      <c r="O33" s="2" t="s">
        <v>75</v>
      </c>
      <c r="P33" s="2" t="s">
        <v>34</v>
      </c>
      <c r="R33" s="2" t="s">
        <v>73</v>
      </c>
      <c r="S33" s="2" t="s">
        <v>73</v>
      </c>
      <c r="T33" s="2">
        <v>29</v>
      </c>
      <c r="V33" s="2">
        <v>100</v>
      </c>
      <c r="W33" s="2" t="s">
        <v>73</v>
      </c>
      <c r="X33" s="2">
        <v>12</v>
      </c>
      <c r="Z33" s="2" t="s">
        <v>98</v>
      </c>
      <c r="AA33" s="2">
        <v>7</v>
      </c>
      <c r="AC33" s="2" t="s">
        <v>152</v>
      </c>
      <c r="AD33" s="2">
        <v>380</v>
      </c>
      <c r="AF33" s="2" t="s">
        <v>104</v>
      </c>
      <c r="AG33" s="2" t="s">
        <v>73</v>
      </c>
      <c r="AH33" s="2" t="s">
        <v>542</v>
      </c>
    </row>
    <row r="34" spans="1:34" x14ac:dyDescent="0.2">
      <c r="A34" s="2">
        <v>33</v>
      </c>
      <c r="B34" s="2" t="s">
        <v>252</v>
      </c>
      <c r="C34" s="2" t="s">
        <v>255</v>
      </c>
      <c r="D34" s="2" t="s">
        <v>92</v>
      </c>
      <c r="E34" s="2" t="s">
        <v>150</v>
      </c>
      <c r="F34" s="2" t="s">
        <v>78</v>
      </c>
      <c r="G34" s="2">
        <v>0.2</v>
      </c>
      <c r="H34" s="2">
        <v>20</v>
      </c>
      <c r="I34" s="4">
        <v>261.3</v>
      </c>
      <c r="J34" s="4">
        <v>10.199999999999999</v>
      </c>
      <c r="K34" s="6">
        <v>3</v>
      </c>
      <c r="L34" s="4">
        <v>104.6</v>
      </c>
      <c r="M34" s="4">
        <v>4.0999999999999996</v>
      </c>
      <c r="N34" s="2">
        <v>3</v>
      </c>
      <c r="O34" s="2" t="s">
        <v>75</v>
      </c>
      <c r="P34" s="2" t="s">
        <v>34</v>
      </c>
      <c r="R34" s="2" t="s">
        <v>73</v>
      </c>
      <c r="S34" s="2" t="s">
        <v>73</v>
      </c>
      <c r="T34" s="2">
        <v>25</v>
      </c>
      <c r="V34" s="2">
        <v>100</v>
      </c>
      <c r="W34" s="2" t="s">
        <v>73</v>
      </c>
      <c r="X34" s="2">
        <v>12</v>
      </c>
      <c r="Z34" s="2" t="s">
        <v>98</v>
      </c>
      <c r="AA34" s="2">
        <v>7</v>
      </c>
      <c r="AC34" s="2" t="s">
        <v>152</v>
      </c>
      <c r="AD34" s="2">
        <v>750</v>
      </c>
      <c r="AF34" s="2" t="s">
        <v>104</v>
      </c>
      <c r="AG34" s="2" t="s">
        <v>73</v>
      </c>
      <c r="AH34" s="2" t="s">
        <v>543</v>
      </c>
    </row>
    <row r="35" spans="1:34" x14ac:dyDescent="0.2">
      <c r="A35" s="2">
        <v>34</v>
      </c>
      <c r="B35" s="2" t="s">
        <v>252</v>
      </c>
      <c r="C35" s="2" t="s">
        <v>255</v>
      </c>
      <c r="D35" s="2" t="s">
        <v>92</v>
      </c>
      <c r="E35" s="2" t="s">
        <v>150</v>
      </c>
      <c r="F35" s="2" t="s">
        <v>80</v>
      </c>
      <c r="G35" s="2">
        <v>0.2</v>
      </c>
      <c r="H35" s="2">
        <v>20</v>
      </c>
      <c r="I35" s="4">
        <v>5.3</v>
      </c>
      <c r="J35" s="4">
        <v>0.2</v>
      </c>
      <c r="K35" s="6">
        <v>3</v>
      </c>
      <c r="L35" s="4">
        <v>5.0999999999999996</v>
      </c>
      <c r="M35" s="4">
        <v>0</v>
      </c>
      <c r="N35" s="2">
        <v>3</v>
      </c>
      <c r="O35" s="2" t="s">
        <v>75</v>
      </c>
      <c r="P35" s="2" t="s">
        <v>34</v>
      </c>
      <c r="R35" s="2" t="s">
        <v>73</v>
      </c>
      <c r="S35" s="2" t="s">
        <v>73</v>
      </c>
      <c r="T35" s="2">
        <v>25</v>
      </c>
      <c r="V35" s="2">
        <v>100</v>
      </c>
      <c r="W35" s="2" t="s">
        <v>73</v>
      </c>
      <c r="X35" s="2">
        <v>12</v>
      </c>
      <c r="Z35" s="2" t="s">
        <v>98</v>
      </c>
      <c r="AA35" s="2">
        <v>7</v>
      </c>
      <c r="AC35" s="2" t="s">
        <v>152</v>
      </c>
      <c r="AD35" s="2">
        <v>750</v>
      </c>
      <c r="AF35" s="2" t="s">
        <v>104</v>
      </c>
      <c r="AG35" s="2" t="s">
        <v>73</v>
      </c>
      <c r="AH35" s="2" t="s">
        <v>543</v>
      </c>
    </row>
    <row r="36" spans="1:34" x14ac:dyDescent="0.2">
      <c r="A36" s="2">
        <v>35</v>
      </c>
      <c r="B36" s="2" t="s">
        <v>252</v>
      </c>
      <c r="C36" s="2" t="s">
        <v>255</v>
      </c>
      <c r="D36" s="2" t="s">
        <v>92</v>
      </c>
      <c r="E36" s="2" t="s">
        <v>150</v>
      </c>
      <c r="F36" s="2" t="s">
        <v>78</v>
      </c>
      <c r="G36" s="2">
        <v>0.2</v>
      </c>
      <c r="H36" s="2">
        <v>20</v>
      </c>
      <c r="I36" s="4">
        <v>289.60000000000002</v>
      </c>
      <c r="J36" s="4">
        <v>21.1</v>
      </c>
      <c r="K36" s="6">
        <v>3</v>
      </c>
      <c r="L36" s="4">
        <v>103.9</v>
      </c>
      <c r="M36" s="4">
        <v>8.1</v>
      </c>
      <c r="N36" s="2">
        <v>3</v>
      </c>
      <c r="O36" s="2" t="s">
        <v>75</v>
      </c>
      <c r="P36" s="2" t="s">
        <v>34</v>
      </c>
      <c r="R36" s="2" t="s">
        <v>73</v>
      </c>
      <c r="S36" s="2" t="s">
        <v>73</v>
      </c>
      <c r="T36" s="2">
        <v>29</v>
      </c>
      <c r="V36" s="2">
        <v>100</v>
      </c>
      <c r="W36" s="2" t="s">
        <v>73</v>
      </c>
      <c r="X36" s="2">
        <v>12</v>
      </c>
      <c r="Z36" s="2" t="s">
        <v>98</v>
      </c>
      <c r="AA36" s="2">
        <v>7</v>
      </c>
      <c r="AC36" s="2" t="s">
        <v>152</v>
      </c>
      <c r="AD36" s="2">
        <v>750</v>
      </c>
      <c r="AF36" s="2" t="s">
        <v>104</v>
      </c>
      <c r="AG36" s="2" t="s">
        <v>73</v>
      </c>
      <c r="AH36" s="2" t="s">
        <v>544</v>
      </c>
    </row>
    <row r="37" spans="1:34" x14ac:dyDescent="0.2">
      <c r="A37" s="2">
        <v>36</v>
      </c>
      <c r="B37" s="2" t="s">
        <v>252</v>
      </c>
      <c r="C37" s="2" t="s">
        <v>255</v>
      </c>
      <c r="D37" s="2" t="s">
        <v>92</v>
      </c>
      <c r="E37" s="2" t="s">
        <v>150</v>
      </c>
      <c r="F37" s="2" t="s">
        <v>80</v>
      </c>
      <c r="G37" s="2">
        <v>0.2</v>
      </c>
      <c r="H37" s="2">
        <v>20</v>
      </c>
      <c r="I37" s="4">
        <v>5.7</v>
      </c>
      <c r="J37" s="4">
        <v>0.1</v>
      </c>
      <c r="K37" s="6">
        <v>3</v>
      </c>
      <c r="L37" s="4">
        <v>4.7</v>
      </c>
      <c r="M37" s="4">
        <v>0.3</v>
      </c>
      <c r="N37" s="2">
        <v>3</v>
      </c>
      <c r="O37" s="2" t="s">
        <v>75</v>
      </c>
      <c r="P37" s="2" t="s">
        <v>34</v>
      </c>
      <c r="R37" s="2" t="s">
        <v>73</v>
      </c>
      <c r="S37" s="2" t="s">
        <v>73</v>
      </c>
      <c r="T37" s="2">
        <v>29</v>
      </c>
      <c r="V37" s="2">
        <v>100</v>
      </c>
      <c r="W37" s="2" t="s">
        <v>73</v>
      </c>
      <c r="X37" s="2">
        <v>12</v>
      </c>
      <c r="Z37" s="2" t="s">
        <v>98</v>
      </c>
      <c r="AA37" s="2">
        <v>7</v>
      </c>
      <c r="AC37" s="2" t="s">
        <v>152</v>
      </c>
      <c r="AD37" s="2">
        <v>750</v>
      </c>
      <c r="AF37" s="2" t="s">
        <v>104</v>
      </c>
      <c r="AG37" s="2" t="s">
        <v>73</v>
      </c>
      <c r="AH37" s="2" t="s">
        <v>544</v>
      </c>
    </row>
    <row r="38" spans="1:34" x14ac:dyDescent="0.2">
      <c r="A38" s="2">
        <v>37</v>
      </c>
      <c r="B38" s="2" t="s">
        <v>269</v>
      </c>
      <c r="C38" s="2" t="s">
        <v>270</v>
      </c>
      <c r="D38" s="2" t="s">
        <v>121</v>
      </c>
      <c r="E38" s="2" t="s">
        <v>106</v>
      </c>
      <c r="F38" s="2" t="s">
        <v>78</v>
      </c>
      <c r="G38" s="2">
        <v>0.2</v>
      </c>
      <c r="H38" s="2">
        <v>2</v>
      </c>
      <c r="I38" s="4">
        <v>249.3</v>
      </c>
      <c r="J38" s="4">
        <v>30.2</v>
      </c>
      <c r="K38" s="6">
        <v>3</v>
      </c>
      <c r="L38" s="4">
        <v>122.2</v>
      </c>
      <c r="M38" s="4">
        <v>21.6</v>
      </c>
      <c r="N38" s="2">
        <v>3</v>
      </c>
      <c r="O38" s="2" t="s">
        <v>75</v>
      </c>
      <c r="P38" s="2" t="s">
        <v>34</v>
      </c>
      <c r="R38" s="2" t="s">
        <v>73</v>
      </c>
      <c r="S38" s="2" t="s">
        <v>73</v>
      </c>
      <c r="T38" s="2">
        <v>16</v>
      </c>
      <c r="V38" s="2">
        <v>200</v>
      </c>
      <c r="W38" s="2" t="s">
        <v>73</v>
      </c>
      <c r="X38" s="2">
        <v>16</v>
      </c>
      <c r="Y38" s="2">
        <v>21</v>
      </c>
      <c r="Z38" s="2" t="s">
        <v>98</v>
      </c>
      <c r="AB38" s="2" t="s">
        <v>73</v>
      </c>
      <c r="AC38" s="2" t="s">
        <v>116</v>
      </c>
      <c r="AF38" s="2" t="s">
        <v>104</v>
      </c>
      <c r="AG38" s="2" t="s">
        <v>73</v>
      </c>
      <c r="AH38" s="2" t="s">
        <v>545</v>
      </c>
    </row>
    <row r="39" spans="1:34" x14ac:dyDescent="0.2">
      <c r="A39" s="2">
        <v>38</v>
      </c>
      <c r="B39" s="2" t="s">
        <v>269</v>
      </c>
      <c r="C39" s="2" t="s">
        <v>270</v>
      </c>
      <c r="D39" s="2" t="s">
        <v>121</v>
      </c>
      <c r="E39" s="2" t="s">
        <v>106</v>
      </c>
      <c r="F39" s="2" t="s">
        <v>80</v>
      </c>
      <c r="G39" s="2">
        <v>0.2</v>
      </c>
      <c r="H39" s="2">
        <v>2</v>
      </c>
      <c r="I39" s="4">
        <v>8.5</v>
      </c>
      <c r="J39" s="4">
        <v>0.9</v>
      </c>
      <c r="K39" s="6">
        <v>3</v>
      </c>
      <c r="L39" s="4">
        <v>7.7</v>
      </c>
      <c r="M39" s="4">
        <v>1.4</v>
      </c>
      <c r="N39" s="2">
        <v>3</v>
      </c>
      <c r="O39" s="2" t="s">
        <v>75</v>
      </c>
      <c r="P39" s="2" t="s">
        <v>34</v>
      </c>
      <c r="R39" s="2" t="s">
        <v>73</v>
      </c>
      <c r="S39" s="2" t="s">
        <v>73</v>
      </c>
      <c r="T39" s="2">
        <v>16</v>
      </c>
      <c r="V39" s="2">
        <v>200</v>
      </c>
      <c r="W39" s="2" t="s">
        <v>73</v>
      </c>
      <c r="X39" s="2">
        <v>16</v>
      </c>
      <c r="Y39" s="2">
        <v>21</v>
      </c>
      <c r="Z39" s="2" t="s">
        <v>98</v>
      </c>
      <c r="AB39" s="2" t="s">
        <v>73</v>
      </c>
      <c r="AC39" s="2" t="s">
        <v>116</v>
      </c>
      <c r="AF39" s="2" t="s">
        <v>104</v>
      </c>
      <c r="AG39" s="2" t="s">
        <v>73</v>
      </c>
      <c r="AH39" s="2" t="s">
        <v>545</v>
      </c>
    </row>
    <row r="40" spans="1:34" x14ac:dyDescent="0.2">
      <c r="A40" s="2">
        <v>39</v>
      </c>
      <c r="B40" s="2" t="s">
        <v>271</v>
      </c>
      <c r="C40" s="2" t="s">
        <v>272</v>
      </c>
      <c r="D40" s="2" t="s">
        <v>121</v>
      </c>
      <c r="E40" s="2" t="s">
        <v>106</v>
      </c>
      <c r="F40" s="2" t="s">
        <v>78</v>
      </c>
      <c r="G40" s="2">
        <v>0.2</v>
      </c>
      <c r="H40" s="2">
        <v>2</v>
      </c>
      <c r="I40" s="4">
        <v>216.3</v>
      </c>
      <c r="J40" s="4">
        <v>31.9</v>
      </c>
      <c r="K40" s="6">
        <v>4</v>
      </c>
      <c r="L40" s="4">
        <v>146.30000000000001</v>
      </c>
      <c r="M40" s="4">
        <v>18.5</v>
      </c>
      <c r="N40" s="2">
        <v>4</v>
      </c>
      <c r="O40" s="2" t="s">
        <v>75</v>
      </c>
      <c r="P40" s="2" t="s">
        <v>34</v>
      </c>
      <c r="R40" s="2" t="s">
        <v>73</v>
      </c>
      <c r="S40" s="2" t="s">
        <v>73</v>
      </c>
      <c r="T40" s="2">
        <v>16</v>
      </c>
      <c r="V40" s="2">
        <v>200</v>
      </c>
      <c r="W40" s="2" t="s">
        <v>73</v>
      </c>
      <c r="X40" s="2">
        <v>16</v>
      </c>
      <c r="Y40" s="2">
        <v>9</v>
      </c>
      <c r="Z40" s="2" t="s">
        <v>98</v>
      </c>
      <c r="AB40" s="2" t="s">
        <v>73</v>
      </c>
      <c r="AC40" s="2" t="s">
        <v>116</v>
      </c>
      <c r="AF40" s="2" t="s">
        <v>104</v>
      </c>
      <c r="AG40" s="2" t="s">
        <v>73</v>
      </c>
      <c r="AH40" s="2" t="s">
        <v>545</v>
      </c>
    </row>
    <row r="41" spans="1:34" x14ac:dyDescent="0.2">
      <c r="A41" s="2">
        <v>40</v>
      </c>
      <c r="B41" s="2" t="s">
        <v>271</v>
      </c>
      <c r="C41" s="2" t="s">
        <v>272</v>
      </c>
      <c r="D41" s="2" t="s">
        <v>121</v>
      </c>
      <c r="E41" s="2" t="s">
        <v>106</v>
      </c>
      <c r="F41" s="2" t="s">
        <v>80</v>
      </c>
      <c r="G41" s="2">
        <v>0.2</v>
      </c>
      <c r="H41" s="2">
        <v>2</v>
      </c>
      <c r="I41" s="4">
        <v>8.9</v>
      </c>
      <c r="J41" s="4">
        <v>0.9</v>
      </c>
      <c r="K41" s="6">
        <v>4</v>
      </c>
      <c r="L41" s="4">
        <v>10.4</v>
      </c>
      <c r="M41" s="4">
        <v>1.1000000000000001</v>
      </c>
      <c r="N41" s="2">
        <v>4</v>
      </c>
      <c r="O41" s="2" t="s">
        <v>75</v>
      </c>
      <c r="P41" s="2" t="s">
        <v>34</v>
      </c>
      <c r="R41" s="2" t="s">
        <v>73</v>
      </c>
      <c r="S41" s="2" t="s">
        <v>73</v>
      </c>
      <c r="T41" s="2">
        <v>16</v>
      </c>
      <c r="V41" s="2">
        <v>200</v>
      </c>
      <c r="W41" s="2" t="s">
        <v>73</v>
      </c>
      <c r="X41" s="2">
        <v>16</v>
      </c>
      <c r="Y41" s="2">
        <v>9</v>
      </c>
      <c r="Z41" s="2" t="s">
        <v>98</v>
      </c>
      <c r="AB41" s="2" t="s">
        <v>73</v>
      </c>
      <c r="AC41" s="2" t="s">
        <v>116</v>
      </c>
      <c r="AF41" s="2" t="s">
        <v>104</v>
      </c>
      <c r="AG41" s="2" t="s">
        <v>73</v>
      </c>
      <c r="AH41" s="2" t="s">
        <v>545</v>
      </c>
    </row>
    <row r="42" spans="1:34" x14ac:dyDescent="0.2">
      <c r="A42" s="2">
        <v>41</v>
      </c>
      <c r="B42" s="2" t="s">
        <v>303</v>
      </c>
      <c r="C42" s="2" t="s">
        <v>305</v>
      </c>
      <c r="D42" s="2" t="s">
        <v>135</v>
      </c>
      <c r="E42" s="2" t="s">
        <v>106</v>
      </c>
      <c r="F42" s="2" t="s">
        <v>78</v>
      </c>
      <c r="G42" s="2">
        <v>4</v>
      </c>
      <c r="H42" s="2">
        <v>36.299999999999997</v>
      </c>
      <c r="I42" s="4">
        <v>560</v>
      </c>
      <c r="J42" s="4">
        <v>14</v>
      </c>
      <c r="K42" s="6">
        <v>3</v>
      </c>
      <c r="L42" s="4">
        <v>50</v>
      </c>
      <c r="M42" s="4">
        <v>2.9</v>
      </c>
      <c r="N42" s="2">
        <v>3</v>
      </c>
      <c r="O42" s="2" t="s">
        <v>95</v>
      </c>
      <c r="R42" s="2" t="s">
        <v>73</v>
      </c>
      <c r="S42" s="2" t="s">
        <v>73</v>
      </c>
      <c r="V42" s="2">
        <v>250</v>
      </c>
      <c r="W42" s="2" t="s">
        <v>73</v>
      </c>
      <c r="X42" s="2">
        <v>24</v>
      </c>
      <c r="Z42" s="2" t="s">
        <v>89</v>
      </c>
      <c r="AB42" s="2" t="s">
        <v>87</v>
      </c>
      <c r="AC42" s="2" t="s">
        <v>116</v>
      </c>
      <c r="AF42" s="2" t="s">
        <v>142</v>
      </c>
      <c r="AG42" s="2" t="s">
        <v>73</v>
      </c>
      <c r="AH42" s="2" t="s">
        <v>304</v>
      </c>
    </row>
    <row r="43" spans="1:34" x14ac:dyDescent="0.2">
      <c r="A43" s="2">
        <v>42</v>
      </c>
      <c r="B43" s="2" t="s">
        <v>303</v>
      </c>
      <c r="C43" s="2" t="s">
        <v>305</v>
      </c>
      <c r="D43" s="2" t="s">
        <v>135</v>
      </c>
      <c r="E43" s="2" t="s">
        <v>106</v>
      </c>
      <c r="F43" s="2" t="s">
        <v>80</v>
      </c>
      <c r="G43" s="2">
        <v>4</v>
      </c>
      <c r="H43" s="2">
        <v>36.299999999999997</v>
      </c>
      <c r="I43" s="4">
        <v>9</v>
      </c>
      <c r="J43" s="4">
        <v>0.4</v>
      </c>
      <c r="K43" s="6">
        <v>3</v>
      </c>
      <c r="L43" s="4">
        <v>7.4</v>
      </c>
      <c r="M43" s="4">
        <v>0.2</v>
      </c>
      <c r="N43" s="2">
        <v>3</v>
      </c>
      <c r="O43" s="2" t="s">
        <v>95</v>
      </c>
      <c r="R43" s="2" t="s">
        <v>73</v>
      </c>
      <c r="S43" s="2" t="s">
        <v>73</v>
      </c>
      <c r="V43" s="2">
        <v>250</v>
      </c>
      <c r="W43" s="2" t="s">
        <v>73</v>
      </c>
      <c r="X43" s="2">
        <v>24</v>
      </c>
      <c r="Z43" s="2" t="s">
        <v>89</v>
      </c>
      <c r="AB43" s="2" t="s">
        <v>87</v>
      </c>
      <c r="AC43" s="2" t="s">
        <v>116</v>
      </c>
      <c r="AF43" s="2" t="s">
        <v>142</v>
      </c>
      <c r="AG43" s="2" t="s">
        <v>73</v>
      </c>
      <c r="AH43" s="2" t="s">
        <v>304</v>
      </c>
    </row>
    <row r="44" spans="1:34" x14ac:dyDescent="0.2">
      <c r="A44" s="2">
        <v>43</v>
      </c>
      <c r="B44" s="2" t="s">
        <v>303</v>
      </c>
      <c r="C44" s="2" t="s">
        <v>197</v>
      </c>
      <c r="D44" s="2" t="s">
        <v>84</v>
      </c>
      <c r="E44" s="2" t="s">
        <v>85</v>
      </c>
      <c r="F44" s="2" t="s">
        <v>78</v>
      </c>
      <c r="G44" s="2">
        <v>4</v>
      </c>
      <c r="H44" s="2">
        <v>36.299999999999997</v>
      </c>
      <c r="I44" s="4">
        <v>578</v>
      </c>
      <c r="J44" s="4">
        <v>37</v>
      </c>
      <c r="K44" s="6">
        <v>3</v>
      </c>
      <c r="L44" s="4">
        <v>47.8</v>
      </c>
      <c r="M44" s="4">
        <v>6.4</v>
      </c>
      <c r="N44" s="2">
        <v>3</v>
      </c>
      <c r="O44" s="2" t="s">
        <v>95</v>
      </c>
      <c r="R44" s="2" t="s">
        <v>73</v>
      </c>
      <c r="S44" s="2" t="s">
        <v>73</v>
      </c>
      <c r="V44" s="2">
        <v>250</v>
      </c>
      <c r="W44" s="2" t="s">
        <v>73</v>
      </c>
      <c r="X44" s="2">
        <v>24</v>
      </c>
      <c r="Z44" s="2" t="s">
        <v>89</v>
      </c>
      <c r="AB44" s="2" t="s">
        <v>87</v>
      </c>
      <c r="AC44" s="2" t="s">
        <v>116</v>
      </c>
      <c r="AF44" s="2" t="s">
        <v>142</v>
      </c>
      <c r="AG44" s="2" t="s">
        <v>73</v>
      </c>
      <c r="AH44" s="2" t="s">
        <v>304</v>
      </c>
    </row>
    <row r="45" spans="1:34" x14ac:dyDescent="0.2">
      <c r="A45" s="2">
        <v>44</v>
      </c>
      <c r="B45" s="2" t="s">
        <v>303</v>
      </c>
      <c r="C45" s="2" t="s">
        <v>197</v>
      </c>
      <c r="D45" s="2" t="s">
        <v>84</v>
      </c>
      <c r="E45" s="2" t="s">
        <v>85</v>
      </c>
      <c r="F45" s="2" t="s">
        <v>80</v>
      </c>
      <c r="G45" s="2">
        <v>4</v>
      </c>
      <c r="H45" s="2">
        <v>36.299999999999997</v>
      </c>
      <c r="I45" s="4">
        <v>14.3</v>
      </c>
      <c r="J45" s="4">
        <v>1.7</v>
      </c>
      <c r="K45" s="6">
        <v>3</v>
      </c>
      <c r="L45" s="4">
        <v>7.6</v>
      </c>
      <c r="M45" s="4">
        <v>0.9</v>
      </c>
      <c r="N45" s="2">
        <v>3</v>
      </c>
      <c r="O45" s="2" t="s">
        <v>95</v>
      </c>
      <c r="R45" s="2" t="s">
        <v>73</v>
      </c>
      <c r="S45" s="2" t="s">
        <v>73</v>
      </c>
      <c r="V45" s="2">
        <v>250</v>
      </c>
      <c r="W45" s="2" t="s">
        <v>73</v>
      </c>
      <c r="X45" s="2">
        <v>24</v>
      </c>
      <c r="Z45" s="2" t="s">
        <v>89</v>
      </c>
      <c r="AB45" s="2" t="s">
        <v>87</v>
      </c>
      <c r="AC45" s="2" t="s">
        <v>116</v>
      </c>
      <c r="AF45" s="2" t="s">
        <v>142</v>
      </c>
      <c r="AG45" s="2" t="s">
        <v>73</v>
      </c>
      <c r="AH45" s="2" t="s">
        <v>304</v>
      </c>
    </row>
    <row r="46" spans="1:34" x14ac:dyDescent="0.2">
      <c r="A46" s="2">
        <v>45</v>
      </c>
      <c r="B46" s="2" t="s">
        <v>308</v>
      </c>
      <c r="C46" s="2" t="s">
        <v>309</v>
      </c>
      <c r="D46" s="2" t="s">
        <v>121</v>
      </c>
      <c r="E46" s="2" t="s">
        <v>122</v>
      </c>
      <c r="F46" s="2" t="s">
        <v>78</v>
      </c>
      <c r="G46" s="2">
        <v>0.25</v>
      </c>
      <c r="H46" s="2">
        <v>34</v>
      </c>
      <c r="I46" s="4">
        <v>939.42156862745082</v>
      </c>
      <c r="J46" s="4">
        <v>567.53069273744518</v>
      </c>
      <c r="K46" s="6">
        <v>3</v>
      </c>
      <c r="L46" s="4">
        <v>202.22863247863251</v>
      </c>
      <c r="M46" s="4">
        <v>23.891215905593899</v>
      </c>
      <c r="N46" s="2">
        <v>3</v>
      </c>
      <c r="O46" s="2" t="s">
        <v>95</v>
      </c>
      <c r="P46" s="2" t="s">
        <v>34</v>
      </c>
      <c r="R46" s="2" t="s">
        <v>73</v>
      </c>
      <c r="S46" s="2" t="s">
        <v>73</v>
      </c>
      <c r="T46" s="2">
        <v>15</v>
      </c>
      <c r="V46" s="2">
        <v>400</v>
      </c>
      <c r="W46" s="2" t="s">
        <v>73</v>
      </c>
      <c r="X46" s="2">
        <v>16</v>
      </c>
      <c r="Z46" s="2" t="s">
        <v>98</v>
      </c>
      <c r="AC46" s="2" t="s">
        <v>116</v>
      </c>
      <c r="AF46" s="2" t="s">
        <v>94</v>
      </c>
      <c r="AG46" s="2" t="s">
        <v>73</v>
      </c>
      <c r="AH46" s="2" t="s">
        <v>546</v>
      </c>
    </row>
    <row r="47" spans="1:34" x14ac:dyDescent="0.2">
      <c r="A47" s="2">
        <v>46</v>
      </c>
      <c r="B47" s="2" t="s">
        <v>308</v>
      </c>
      <c r="C47" s="2" t="s">
        <v>309</v>
      </c>
      <c r="D47" s="2" t="s">
        <v>121</v>
      </c>
      <c r="E47" s="2" t="s">
        <v>122</v>
      </c>
      <c r="F47" s="2" t="s">
        <v>80</v>
      </c>
      <c r="G47" s="2">
        <v>0.25</v>
      </c>
      <c r="H47" s="2">
        <v>34</v>
      </c>
      <c r="I47" s="4">
        <v>5.560781290156771</v>
      </c>
      <c r="J47" s="4">
        <v>0.95967575665866733</v>
      </c>
      <c r="K47" s="6">
        <v>3</v>
      </c>
      <c r="L47" s="4">
        <v>3.4084529505582144</v>
      </c>
      <c r="M47" s="4">
        <v>0.49248003322279754</v>
      </c>
      <c r="N47" s="2">
        <v>3</v>
      </c>
      <c r="O47" s="2" t="s">
        <v>95</v>
      </c>
      <c r="P47" s="2" t="s">
        <v>34</v>
      </c>
      <c r="R47" s="2" t="s">
        <v>73</v>
      </c>
      <c r="S47" s="2" t="s">
        <v>73</v>
      </c>
      <c r="T47" s="2">
        <v>15</v>
      </c>
      <c r="V47" s="2">
        <v>400</v>
      </c>
      <c r="W47" s="2" t="s">
        <v>73</v>
      </c>
      <c r="X47" s="2">
        <v>16</v>
      </c>
      <c r="Z47" s="2" t="s">
        <v>98</v>
      </c>
      <c r="AC47" s="2" t="s">
        <v>116</v>
      </c>
      <c r="AF47" s="2" t="s">
        <v>94</v>
      </c>
      <c r="AG47" s="2" t="s">
        <v>73</v>
      </c>
      <c r="AH47" s="2" t="s">
        <v>546</v>
      </c>
    </row>
    <row r="48" spans="1:34" x14ac:dyDescent="0.2">
      <c r="A48" s="2">
        <v>47</v>
      </c>
      <c r="B48" s="2" t="s">
        <v>310</v>
      </c>
      <c r="C48" s="2" t="s">
        <v>236</v>
      </c>
      <c r="D48" s="2" t="s">
        <v>121</v>
      </c>
      <c r="E48" s="2" t="s">
        <v>122</v>
      </c>
      <c r="F48" s="2" t="s">
        <v>78</v>
      </c>
      <c r="G48" s="2">
        <v>0.28999999999999998</v>
      </c>
      <c r="H48" s="2">
        <v>32</v>
      </c>
      <c r="I48" s="4">
        <v>5148.5833333333339</v>
      </c>
      <c r="J48" s="4">
        <v>47.791666666666671</v>
      </c>
      <c r="K48" s="6">
        <v>3</v>
      </c>
      <c r="L48" s="4">
        <v>214.67500000000001</v>
      </c>
      <c r="M48" s="4">
        <v>2.8416666666666668</v>
      </c>
      <c r="N48" s="2">
        <v>3</v>
      </c>
      <c r="O48" s="2" t="s">
        <v>95</v>
      </c>
      <c r="P48" s="2" t="s">
        <v>34</v>
      </c>
      <c r="R48" s="2" t="s">
        <v>73</v>
      </c>
      <c r="S48" s="2" t="s">
        <v>73</v>
      </c>
      <c r="T48" s="2">
        <v>15</v>
      </c>
      <c r="V48" s="2">
        <v>400</v>
      </c>
      <c r="W48" s="2" t="s">
        <v>73</v>
      </c>
      <c r="X48" s="2">
        <v>16</v>
      </c>
      <c r="Z48" s="2" t="s">
        <v>98</v>
      </c>
      <c r="AC48" s="2" t="s">
        <v>116</v>
      </c>
      <c r="AF48" s="2" t="s">
        <v>94</v>
      </c>
      <c r="AG48" s="2" t="s">
        <v>73</v>
      </c>
      <c r="AH48" s="2" t="s">
        <v>547</v>
      </c>
    </row>
    <row r="49" spans="1:34" x14ac:dyDescent="0.2">
      <c r="A49" s="2">
        <v>48</v>
      </c>
      <c r="B49" s="2" t="s">
        <v>310</v>
      </c>
      <c r="C49" s="2" t="s">
        <v>236</v>
      </c>
      <c r="D49" s="2" t="s">
        <v>121</v>
      </c>
      <c r="E49" s="2" t="s">
        <v>122</v>
      </c>
      <c r="F49" s="2" t="s">
        <v>80</v>
      </c>
      <c r="G49" s="2">
        <v>0.28999999999999998</v>
      </c>
      <c r="H49" s="2">
        <v>32</v>
      </c>
      <c r="I49" s="4">
        <v>17.74936386768448</v>
      </c>
      <c r="J49" s="4">
        <v>0.89597240589162674</v>
      </c>
      <c r="K49" s="6">
        <v>3</v>
      </c>
      <c r="L49" s="4">
        <v>5.9845679012345672</v>
      </c>
      <c r="M49" s="4">
        <v>0.13622687906231704</v>
      </c>
      <c r="N49" s="2">
        <v>3</v>
      </c>
      <c r="O49" s="2" t="s">
        <v>95</v>
      </c>
      <c r="P49" s="2" t="s">
        <v>34</v>
      </c>
      <c r="R49" s="2" t="s">
        <v>73</v>
      </c>
      <c r="S49" s="2" t="s">
        <v>73</v>
      </c>
      <c r="T49" s="2">
        <v>15</v>
      </c>
      <c r="V49" s="2">
        <v>400</v>
      </c>
      <c r="W49" s="2" t="s">
        <v>73</v>
      </c>
      <c r="X49" s="2">
        <v>16</v>
      </c>
      <c r="Z49" s="2" t="s">
        <v>98</v>
      </c>
      <c r="AC49" s="2" t="s">
        <v>116</v>
      </c>
      <c r="AF49" s="2" t="s">
        <v>94</v>
      </c>
      <c r="AG49" s="2" t="s">
        <v>73</v>
      </c>
      <c r="AH49" s="2" t="s">
        <v>547</v>
      </c>
    </row>
    <row r="50" spans="1:34" x14ac:dyDescent="0.2">
      <c r="A50" s="2">
        <v>49</v>
      </c>
      <c r="B50" s="2" t="s">
        <v>316</v>
      </c>
      <c r="C50" s="2" t="s">
        <v>312</v>
      </c>
      <c r="D50" s="2" t="s">
        <v>84</v>
      </c>
      <c r="E50" s="2" t="s">
        <v>85</v>
      </c>
      <c r="F50" s="2" t="s">
        <v>78</v>
      </c>
      <c r="G50" s="2">
        <f>100/90</f>
        <v>1.1111111111111112</v>
      </c>
      <c r="H50" s="2">
        <f t="shared" ref="H50:H57" si="0">100/45</f>
        <v>2.2222222222222223</v>
      </c>
      <c r="I50" s="4">
        <v>592.69899999999996</v>
      </c>
      <c r="J50" s="4">
        <v>28.752000000000066</v>
      </c>
      <c r="K50" s="6">
        <v>3</v>
      </c>
      <c r="L50" s="4">
        <v>465.803</v>
      </c>
      <c r="M50" s="4">
        <v>32.062999999999988</v>
      </c>
      <c r="N50" s="2">
        <v>3</v>
      </c>
      <c r="O50" s="2" t="s">
        <v>141</v>
      </c>
      <c r="Q50" s="2">
        <v>0.3</v>
      </c>
      <c r="R50" s="2" t="s">
        <v>73</v>
      </c>
      <c r="S50" s="2" t="s">
        <v>73</v>
      </c>
      <c r="T50" s="2">
        <v>25</v>
      </c>
      <c r="V50" s="2">
        <v>50</v>
      </c>
      <c r="W50" s="2" t="s">
        <v>87</v>
      </c>
      <c r="X50" s="2">
        <v>14</v>
      </c>
      <c r="Z50" s="2" t="s">
        <v>98</v>
      </c>
      <c r="AC50" s="2" t="s">
        <v>116</v>
      </c>
      <c r="AF50" s="2" t="s">
        <v>123</v>
      </c>
      <c r="AG50" s="2" t="s">
        <v>87</v>
      </c>
      <c r="AH50" s="2" t="s">
        <v>527</v>
      </c>
    </row>
    <row r="51" spans="1:34" x14ac:dyDescent="0.2">
      <c r="A51" s="2">
        <v>50</v>
      </c>
      <c r="B51" s="2" t="s">
        <v>316</v>
      </c>
      <c r="C51" s="2" t="s">
        <v>312</v>
      </c>
      <c r="D51" s="2" t="s">
        <v>84</v>
      </c>
      <c r="E51" s="2" t="s">
        <v>85</v>
      </c>
      <c r="F51" s="2" t="s">
        <v>80</v>
      </c>
      <c r="G51" s="2">
        <f t="shared" ref="G51:G53" si="1">100/90</f>
        <v>1.1111111111111112</v>
      </c>
      <c r="H51" s="2">
        <f t="shared" si="0"/>
        <v>2.2222222222222223</v>
      </c>
      <c r="I51" s="4">
        <v>7.11</v>
      </c>
      <c r="J51" s="4">
        <v>0.67999999999999972</v>
      </c>
      <c r="K51" s="6">
        <v>3</v>
      </c>
      <c r="L51" s="4">
        <v>6.2720000000000002</v>
      </c>
      <c r="M51" s="4">
        <v>0.37899999999999956</v>
      </c>
      <c r="N51" s="2">
        <v>3</v>
      </c>
      <c r="O51" s="2" t="s">
        <v>141</v>
      </c>
      <c r="Q51" s="2">
        <v>0.3</v>
      </c>
      <c r="R51" s="2" t="s">
        <v>73</v>
      </c>
      <c r="S51" s="2" t="s">
        <v>73</v>
      </c>
      <c r="T51" s="2">
        <v>25</v>
      </c>
      <c r="V51" s="2">
        <v>50</v>
      </c>
      <c r="W51" s="2" t="s">
        <v>87</v>
      </c>
      <c r="X51" s="2">
        <v>14</v>
      </c>
      <c r="Z51" s="2" t="s">
        <v>98</v>
      </c>
      <c r="AC51" s="2" t="s">
        <v>116</v>
      </c>
      <c r="AF51" s="2" t="s">
        <v>123</v>
      </c>
      <c r="AG51" s="2" t="s">
        <v>87</v>
      </c>
      <c r="AH51" s="2" t="s">
        <v>527</v>
      </c>
    </row>
    <row r="52" spans="1:34" x14ac:dyDescent="0.2">
      <c r="A52" s="2">
        <v>51</v>
      </c>
      <c r="B52" s="2" t="s">
        <v>316</v>
      </c>
      <c r="C52" s="2" t="s">
        <v>312</v>
      </c>
      <c r="D52" s="2" t="s">
        <v>84</v>
      </c>
      <c r="E52" s="2" t="s">
        <v>85</v>
      </c>
      <c r="F52" s="2" t="s">
        <v>78</v>
      </c>
      <c r="G52" s="2">
        <f t="shared" si="1"/>
        <v>1.1111111111111112</v>
      </c>
      <c r="H52" s="2">
        <f t="shared" si="0"/>
        <v>2.2222222222222223</v>
      </c>
      <c r="I52" s="4">
        <v>670.22400000000005</v>
      </c>
      <c r="J52" s="4">
        <v>60.769000000000005</v>
      </c>
      <c r="K52" s="6">
        <v>3</v>
      </c>
      <c r="L52" s="4">
        <v>523.87300000000005</v>
      </c>
      <c r="M52" s="4">
        <v>70.774000000000001</v>
      </c>
      <c r="N52" s="2">
        <v>3</v>
      </c>
      <c r="O52" s="2" t="s">
        <v>141</v>
      </c>
      <c r="Q52" s="2">
        <v>0.6</v>
      </c>
      <c r="R52" s="2" t="s">
        <v>73</v>
      </c>
      <c r="S52" s="2" t="s">
        <v>73</v>
      </c>
      <c r="T52" s="2">
        <v>25</v>
      </c>
      <c r="V52" s="2">
        <v>700</v>
      </c>
      <c r="W52" s="2" t="s">
        <v>73</v>
      </c>
      <c r="X52" s="2">
        <v>14</v>
      </c>
      <c r="Z52" s="2" t="s">
        <v>98</v>
      </c>
      <c r="AC52" s="2" t="s">
        <v>116</v>
      </c>
      <c r="AF52" s="2" t="s">
        <v>123</v>
      </c>
      <c r="AG52" s="2" t="s">
        <v>87</v>
      </c>
      <c r="AH52" s="2" t="s">
        <v>528</v>
      </c>
    </row>
    <row r="53" spans="1:34" x14ac:dyDescent="0.2">
      <c r="A53" s="2">
        <v>52</v>
      </c>
      <c r="B53" s="2" t="s">
        <v>316</v>
      </c>
      <c r="C53" s="2" t="s">
        <v>312</v>
      </c>
      <c r="D53" s="2" t="s">
        <v>84</v>
      </c>
      <c r="E53" s="2" t="s">
        <v>85</v>
      </c>
      <c r="F53" s="2" t="s">
        <v>80</v>
      </c>
      <c r="G53" s="2">
        <f t="shared" si="1"/>
        <v>1.1111111111111112</v>
      </c>
      <c r="H53" s="2">
        <f t="shared" si="0"/>
        <v>2.2222222222222223</v>
      </c>
      <c r="I53" s="4">
        <v>10.760999999999999</v>
      </c>
      <c r="J53" s="4">
        <v>0.14400000000000013</v>
      </c>
      <c r="K53" s="6">
        <v>3</v>
      </c>
      <c r="L53" s="4">
        <v>9.7409999999999997</v>
      </c>
      <c r="M53" s="4">
        <v>0.85400000000000098</v>
      </c>
      <c r="N53" s="2">
        <v>3</v>
      </c>
      <c r="O53" s="2" t="s">
        <v>141</v>
      </c>
      <c r="Q53" s="2">
        <v>0.6</v>
      </c>
      <c r="R53" s="2" t="s">
        <v>73</v>
      </c>
      <c r="S53" s="2" t="s">
        <v>73</v>
      </c>
      <c r="T53" s="2">
        <v>25</v>
      </c>
      <c r="V53" s="2">
        <v>700</v>
      </c>
      <c r="W53" s="2" t="s">
        <v>73</v>
      </c>
      <c r="X53" s="2">
        <v>14</v>
      </c>
      <c r="Z53" s="2" t="s">
        <v>98</v>
      </c>
      <c r="AC53" s="2" t="s">
        <v>116</v>
      </c>
      <c r="AF53" s="2" t="s">
        <v>123</v>
      </c>
      <c r="AG53" s="2" t="s">
        <v>87</v>
      </c>
      <c r="AH53" s="2" t="s">
        <v>528</v>
      </c>
    </row>
    <row r="54" spans="1:34" x14ac:dyDescent="0.2">
      <c r="A54" s="2">
        <v>53</v>
      </c>
      <c r="B54" s="2" t="s">
        <v>317</v>
      </c>
      <c r="C54" s="2" t="s">
        <v>318</v>
      </c>
      <c r="D54" s="2" t="s">
        <v>105</v>
      </c>
      <c r="E54" s="2" t="s">
        <v>106</v>
      </c>
      <c r="F54" s="2" t="s">
        <v>78</v>
      </c>
      <c r="G54" s="2">
        <f>100/60</f>
        <v>1.6666666666666667</v>
      </c>
      <c r="H54" s="2">
        <f t="shared" si="0"/>
        <v>2.2222222222222223</v>
      </c>
      <c r="I54" s="4">
        <v>696.51</v>
      </c>
      <c r="J54" s="4">
        <v>263.75</v>
      </c>
      <c r="K54" s="6">
        <v>4</v>
      </c>
      <c r="L54" s="4">
        <v>626.01099999999997</v>
      </c>
      <c r="M54" s="4">
        <v>212.346</v>
      </c>
      <c r="N54" s="2">
        <v>4</v>
      </c>
      <c r="O54" s="2" t="s">
        <v>141</v>
      </c>
      <c r="Q54" s="2">
        <v>0.25</v>
      </c>
      <c r="R54" s="2" t="s">
        <v>73</v>
      </c>
      <c r="S54" s="2" t="s">
        <v>73</v>
      </c>
      <c r="T54" s="2">
        <v>25</v>
      </c>
      <c r="V54" s="2">
        <v>50</v>
      </c>
      <c r="W54" s="2" t="s">
        <v>73</v>
      </c>
      <c r="X54" s="2">
        <v>14</v>
      </c>
      <c r="Z54" s="2" t="s">
        <v>98</v>
      </c>
      <c r="AC54" s="2" t="s">
        <v>116</v>
      </c>
      <c r="AF54" s="2" t="s">
        <v>123</v>
      </c>
      <c r="AG54" s="2" t="s">
        <v>87</v>
      </c>
      <c r="AH54" s="2" t="s">
        <v>554</v>
      </c>
    </row>
    <row r="55" spans="1:34" x14ac:dyDescent="0.2">
      <c r="A55" s="2">
        <v>54</v>
      </c>
      <c r="B55" s="2" t="s">
        <v>317</v>
      </c>
      <c r="C55" s="2" t="s">
        <v>318</v>
      </c>
      <c r="D55" s="2" t="s">
        <v>105</v>
      </c>
      <c r="E55" s="2" t="s">
        <v>106</v>
      </c>
      <c r="F55" s="2" t="s">
        <v>80</v>
      </c>
      <c r="G55" s="2">
        <f>100/60</f>
        <v>1.6666666666666667</v>
      </c>
      <c r="H55" s="2">
        <f t="shared" si="0"/>
        <v>2.2222222222222223</v>
      </c>
      <c r="I55" s="4">
        <v>9.5459999999999994</v>
      </c>
      <c r="J55" s="4">
        <v>1.1509999999999998</v>
      </c>
      <c r="K55" s="6">
        <v>4</v>
      </c>
      <c r="L55" s="4">
        <v>12.04</v>
      </c>
      <c r="M55" s="4">
        <v>1.3140000000000001</v>
      </c>
      <c r="N55" s="2">
        <v>4</v>
      </c>
      <c r="O55" s="2" t="s">
        <v>141</v>
      </c>
      <c r="Q55" s="2">
        <v>0.25</v>
      </c>
      <c r="R55" s="2" t="s">
        <v>73</v>
      </c>
      <c r="S55" s="2" t="s">
        <v>73</v>
      </c>
      <c r="T55" s="2">
        <v>25</v>
      </c>
      <c r="V55" s="2">
        <v>50</v>
      </c>
      <c r="W55" s="2" t="s">
        <v>73</v>
      </c>
      <c r="X55" s="2">
        <v>14</v>
      </c>
      <c r="Z55" s="2" t="s">
        <v>98</v>
      </c>
      <c r="AC55" s="2" t="s">
        <v>116</v>
      </c>
      <c r="AF55" s="2" t="s">
        <v>123</v>
      </c>
      <c r="AG55" s="2" t="s">
        <v>87</v>
      </c>
      <c r="AH55" s="2" t="s">
        <v>554</v>
      </c>
    </row>
    <row r="56" spans="1:34" x14ac:dyDescent="0.2">
      <c r="A56" s="2">
        <v>55</v>
      </c>
      <c r="B56" s="2" t="s">
        <v>317</v>
      </c>
      <c r="C56" s="2" t="s">
        <v>318</v>
      </c>
      <c r="D56" s="2" t="s">
        <v>105</v>
      </c>
      <c r="E56" s="2" t="s">
        <v>106</v>
      </c>
      <c r="F56" s="2" t="s">
        <v>78</v>
      </c>
      <c r="G56" s="2">
        <f>100/60</f>
        <v>1.6666666666666667</v>
      </c>
      <c r="H56" s="2">
        <f t="shared" si="0"/>
        <v>2.2222222222222223</v>
      </c>
      <c r="I56" s="4">
        <v>629.38900000000001</v>
      </c>
      <c r="J56" s="4">
        <v>156.048</v>
      </c>
      <c r="K56" s="6">
        <v>4</v>
      </c>
      <c r="L56" s="4">
        <v>581.22900000000004</v>
      </c>
      <c r="M56" s="4">
        <v>127.53999999999996</v>
      </c>
      <c r="N56" s="2">
        <v>4</v>
      </c>
      <c r="O56" s="2" t="s">
        <v>141</v>
      </c>
      <c r="Q56" s="2">
        <v>0.25</v>
      </c>
      <c r="R56" s="2" t="s">
        <v>73</v>
      </c>
      <c r="S56" s="2" t="s">
        <v>73</v>
      </c>
      <c r="T56" s="2">
        <v>25</v>
      </c>
      <c r="V56" s="2">
        <v>500</v>
      </c>
      <c r="W56" s="2" t="s">
        <v>73</v>
      </c>
      <c r="X56" s="2">
        <v>14</v>
      </c>
      <c r="Z56" s="2" t="s">
        <v>98</v>
      </c>
      <c r="AC56" s="2" t="s">
        <v>116</v>
      </c>
      <c r="AF56" s="2" t="s">
        <v>123</v>
      </c>
      <c r="AG56" s="2" t="s">
        <v>87</v>
      </c>
      <c r="AH56" s="2" t="s">
        <v>555</v>
      </c>
    </row>
    <row r="57" spans="1:34" x14ac:dyDescent="0.2">
      <c r="A57" s="2">
        <v>56</v>
      </c>
      <c r="B57" s="2" t="s">
        <v>317</v>
      </c>
      <c r="C57" s="2" t="s">
        <v>318</v>
      </c>
      <c r="D57" s="2" t="s">
        <v>105</v>
      </c>
      <c r="E57" s="2" t="s">
        <v>106</v>
      </c>
      <c r="F57" s="2" t="s">
        <v>80</v>
      </c>
      <c r="G57" s="2">
        <f>100/60</f>
        <v>1.6666666666666667</v>
      </c>
      <c r="H57" s="2">
        <f t="shared" si="0"/>
        <v>2.2222222222222223</v>
      </c>
      <c r="I57" s="4">
        <v>10.912000000000001</v>
      </c>
      <c r="J57" s="4">
        <v>1.25</v>
      </c>
      <c r="K57" s="6">
        <v>4</v>
      </c>
      <c r="L57" s="4">
        <v>11.742000000000001</v>
      </c>
      <c r="M57" s="4">
        <v>1.1769999999999996</v>
      </c>
      <c r="N57" s="2">
        <v>4</v>
      </c>
      <c r="O57" s="2" t="s">
        <v>141</v>
      </c>
      <c r="Q57" s="2">
        <v>0.25</v>
      </c>
      <c r="R57" s="2" t="s">
        <v>73</v>
      </c>
      <c r="S57" s="2" t="s">
        <v>73</v>
      </c>
      <c r="T57" s="2">
        <v>25</v>
      </c>
      <c r="V57" s="2">
        <v>500</v>
      </c>
      <c r="W57" s="2" t="s">
        <v>73</v>
      </c>
      <c r="X57" s="2">
        <v>14</v>
      </c>
      <c r="Z57" s="2" t="s">
        <v>98</v>
      </c>
      <c r="AC57" s="2" t="s">
        <v>116</v>
      </c>
      <c r="AF57" s="2" t="s">
        <v>123</v>
      </c>
      <c r="AG57" s="2" t="s">
        <v>87</v>
      </c>
      <c r="AH57" s="2" t="s">
        <v>555</v>
      </c>
    </row>
    <row r="58" spans="1:34" x14ac:dyDescent="0.2">
      <c r="A58" s="2">
        <v>57</v>
      </c>
      <c r="B58" s="2" t="s">
        <v>322</v>
      </c>
      <c r="C58" s="2" t="s">
        <v>236</v>
      </c>
      <c r="D58" s="2" t="s">
        <v>121</v>
      </c>
      <c r="E58" s="2" t="s">
        <v>122</v>
      </c>
      <c r="F58" s="2" t="s">
        <v>78</v>
      </c>
      <c r="G58" s="2">
        <v>6.67</v>
      </c>
      <c r="H58" s="2">
        <v>13.3</v>
      </c>
      <c r="I58" s="4">
        <v>244.36</v>
      </c>
      <c r="J58" s="4">
        <v>39.649000000000001</v>
      </c>
      <c r="K58" s="6">
        <v>4</v>
      </c>
      <c r="L58" s="4">
        <v>166.44399999999999</v>
      </c>
      <c r="M58" s="4">
        <v>18.280999999999977</v>
      </c>
      <c r="N58" s="2">
        <v>4</v>
      </c>
      <c r="O58" s="2" t="s">
        <v>141</v>
      </c>
      <c r="Q58" s="2">
        <v>0.3</v>
      </c>
      <c r="R58" s="2" t="s">
        <v>73</v>
      </c>
      <c r="S58" s="2" t="s">
        <v>73</v>
      </c>
      <c r="T58" s="2">
        <v>18</v>
      </c>
      <c r="V58" s="2">
        <v>80</v>
      </c>
      <c r="W58" s="2" t="s">
        <v>73</v>
      </c>
      <c r="X58" s="2">
        <v>14</v>
      </c>
      <c r="Z58" s="2" t="s">
        <v>98</v>
      </c>
      <c r="AC58" s="2" t="s">
        <v>116</v>
      </c>
      <c r="AD58" s="2">
        <v>360</v>
      </c>
      <c r="AF58" s="2" t="s">
        <v>133</v>
      </c>
      <c r="AG58" s="2" t="s">
        <v>87</v>
      </c>
      <c r="AH58" s="2" t="s">
        <v>556</v>
      </c>
    </row>
    <row r="59" spans="1:34" x14ac:dyDescent="0.2">
      <c r="A59" s="2">
        <v>58</v>
      </c>
      <c r="B59" s="2" t="s">
        <v>322</v>
      </c>
      <c r="C59" s="2" t="s">
        <v>236</v>
      </c>
      <c r="D59" s="2" t="s">
        <v>121</v>
      </c>
      <c r="E59" s="2" t="s">
        <v>122</v>
      </c>
      <c r="F59" s="2" t="s">
        <v>80</v>
      </c>
      <c r="G59" s="2">
        <v>6.67</v>
      </c>
      <c r="H59" s="2">
        <v>13.3</v>
      </c>
      <c r="I59" s="4">
        <v>9.4949999999999992</v>
      </c>
      <c r="J59" s="4">
        <v>0.60199999999999854</v>
      </c>
      <c r="K59" s="6">
        <v>4</v>
      </c>
      <c r="L59" s="4">
        <v>7.8810000000000002</v>
      </c>
      <c r="M59" s="4">
        <v>0.53500000000000014</v>
      </c>
      <c r="N59" s="2">
        <v>4</v>
      </c>
      <c r="O59" s="2" t="s">
        <v>141</v>
      </c>
      <c r="Q59" s="2">
        <v>0.3</v>
      </c>
      <c r="R59" s="2" t="s">
        <v>73</v>
      </c>
      <c r="S59" s="2" t="s">
        <v>73</v>
      </c>
      <c r="T59" s="2">
        <v>18</v>
      </c>
      <c r="V59" s="2">
        <v>80</v>
      </c>
      <c r="W59" s="2" t="s">
        <v>73</v>
      </c>
      <c r="X59" s="2">
        <v>14</v>
      </c>
      <c r="Z59" s="2" t="s">
        <v>98</v>
      </c>
      <c r="AC59" s="2" t="s">
        <v>116</v>
      </c>
      <c r="AD59" s="2">
        <v>360</v>
      </c>
      <c r="AF59" s="2" t="s">
        <v>133</v>
      </c>
      <c r="AG59" s="2" t="s">
        <v>87</v>
      </c>
      <c r="AH59" s="2" t="s">
        <v>556</v>
      </c>
    </row>
    <row r="60" spans="1:34" x14ac:dyDescent="0.2">
      <c r="A60" s="2">
        <v>59</v>
      </c>
      <c r="B60" s="2" t="s">
        <v>322</v>
      </c>
      <c r="C60" s="2" t="s">
        <v>236</v>
      </c>
      <c r="D60" s="2" t="s">
        <v>121</v>
      </c>
      <c r="E60" s="2" t="s">
        <v>122</v>
      </c>
      <c r="F60" s="2" t="s">
        <v>78</v>
      </c>
      <c r="G60" s="2">
        <v>6.67</v>
      </c>
      <c r="H60" s="2">
        <v>13.3</v>
      </c>
      <c r="I60" s="4">
        <v>271.43200000000002</v>
      </c>
      <c r="J60" s="4">
        <v>41.170999999999992</v>
      </c>
      <c r="K60" s="6">
        <v>4</v>
      </c>
      <c r="L60" s="4">
        <v>217.07599999999999</v>
      </c>
      <c r="M60" s="4">
        <v>14.685000000000002</v>
      </c>
      <c r="N60" s="2">
        <v>4</v>
      </c>
      <c r="O60" s="2" t="s">
        <v>141</v>
      </c>
      <c r="Q60" s="2">
        <v>0.3</v>
      </c>
      <c r="R60" s="2" t="s">
        <v>73</v>
      </c>
      <c r="S60" s="2" t="s">
        <v>73</v>
      </c>
      <c r="T60" s="2">
        <v>18</v>
      </c>
      <c r="V60" s="2">
        <v>500</v>
      </c>
      <c r="W60" s="2" t="s">
        <v>73</v>
      </c>
      <c r="X60" s="2">
        <v>14</v>
      </c>
      <c r="Z60" s="2" t="s">
        <v>98</v>
      </c>
      <c r="AC60" s="2" t="s">
        <v>116</v>
      </c>
      <c r="AD60" s="2">
        <v>360</v>
      </c>
      <c r="AF60" s="2" t="s">
        <v>133</v>
      </c>
      <c r="AG60" s="2" t="s">
        <v>87</v>
      </c>
      <c r="AH60" s="2" t="s">
        <v>557</v>
      </c>
    </row>
    <row r="61" spans="1:34" x14ac:dyDescent="0.2">
      <c r="A61" s="2">
        <v>60</v>
      </c>
      <c r="B61" s="2" t="s">
        <v>322</v>
      </c>
      <c r="C61" s="2" t="s">
        <v>236</v>
      </c>
      <c r="D61" s="2" t="s">
        <v>121</v>
      </c>
      <c r="E61" s="2" t="s">
        <v>122</v>
      </c>
      <c r="F61" s="2" t="s">
        <v>80</v>
      </c>
      <c r="G61" s="2">
        <v>6.67</v>
      </c>
      <c r="H61" s="2">
        <v>13.3</v>
      </c>
      <c r="I61" s="4">
        <v>12.733000000000001</v>
      </c>
      <c r="J61" s="4">
        <v>0.71399999999999864</v>
      </c>
      <c r="K61" s="6">
        <v>4</v>
      </c>
      <c r="L61" s="4">
        <v>10.185</v>
      </c>
      <c r="M61" s="4">
        <v>0.63199999999999967</v>
      </c>
      <c r="N61" s="2">
        <v>4</v>
      </c>
      <c r="O61" s="2" t="s">
        <v>141</v>
      </c>
      <c r="Q61" s="2">
        <v>0.3</v>
      </c>
      <c r="R61" s="2" t="s">
        <v>73</v>
      </c>
      <c r="S61" s="2" t="s">
        <v>73</v>
      </c>
      <c r="T61" s="2">
        <v>18</v>
      </c>
      <c r="V61" s="2">
        <v>500</v>
      </c>
      <c r="W61" s="2" t="s">
        <v>73</v>
      </c>
      <c r="X61" s="2">
        <v>14</v>
      </c>
      <c r="Z61" s="2" t="s">
        <v>98</v>
      </c>
      <c r="AC61" s="2" t="s">
        <v>116</v>
      </c>
      <c r="AD61" s="2">
        <v>360</v>
      </c>
      <c r="AF61" s="2" t="s">
        <v>133</v>
      </c>
      <c r="AG61" s="2" t="s">
        <v>87</v>
      </c>
      <c r="AH61" s="2" t="s">
        <v>557</v>
      </c>
    </row>
    <row r="62" spans="1:34" x14ac:dyDescent="0.2">
      <c r="A62" s="2">
        <v>61</v>
      </c>
      <c r="B62" s="2" t="s">
        <v>370</v>
      </c>
      <c r="C62" s="2" t="s">
        <v>236</v>
      </c>
      <c r="D62" s="2" t="s">
        <v>121</v>
      </c>
      <c r="E62" s="2" t="s">
        <v>122</v>
      </c>
      <c r="F62" s="2" t="s">
        <v>78</v>
      </c>
      <c r="G62" s="2">
        <v>7</v>
      </c>
      <c r="H62" s="2">
        <v>20</v>
      </c>
      <c r="I62" s="4">
        <v>494.20577400000002</v>
      </c>
      <c r="J62" s="4">
        <v>34.22238267960067</v>
      </c>
      <c r="K62" s="6">
        <v>4</v>
      </c>
      <c r="L62" s="4">
        <v>101.86529600000001</v>
      </c>
      <c r="M62" s="4">
        <v>13.945308207099895</v>
      </c>
      <c r="N62" s="2">
        <v>4</v>
      </c>
      <c r="O62" s="2" t="s">
        <v>75</v>
      </c>
      <c r="P62" s="2" t="s">
        <v>34</v>
      </c>
      <c r="R62" s="2" t="s">
        <v>73</v>
      </c>
      <c r="S62" s="2" t="s">
        <v>73</v>
      </c>
      <c r="T62" s="2">
        <v>18</v>
      </c>
      <c r="V62" s="2">
        <v>300</v>
      </c>
      <c r="W62" s="2" t="s">
        <v>73</v>
      </c>
      <c r="X62" s="2">
        <v>16</v>
      </c>
      <c r="Z62" s="2" t="s">
        <v>89</v>
      </c>
      <c r="AA62" s="2">
        <v>10</v>
      </c>
      <c r="AC62" s="2" t="s">
        <v>609</v>
      </c>
      <c r="AF62" s="2" t="s">
        <v>189</v>
      </c>
      <c r="AG62" s="2" t="s">
        <v>87</v>
      </c>
      <c r="AH62" s="2" t="s">
        <v>558</v>
      </c>
    </row>
    <row r="63" spans="1:34" x14ac:dyDescent="0.2">
      <c r="A63" s="2">
        <v>62</v>
      </c>
      <c r="B63" s="2" t="s">
        <v>370</v>
      </c>
      <c r="C63" s="2" t="s">
        <v>236</v>
      </c>
      <c r="D63" s="2" t="s">
        <v>121</v>
      </c>
      <c r="E63" s="2" t="s">
        <v>122</v>
      </c>
      <c r="F63" s="2" t="s">
        <v>80</v>
      </c>
      <c r="G63" s="2">
        <v>7</v>
      </c>
      <c r="H63" s="2">
        <v>20</v>
      </c>
      <c r="I63" s="4">
        <v>12.522</v>
      </c>
      <c r="J63" s="4">
        <v>0.60200000000000031</v>
      </c>
      <c r="K63" s="6">
        <v>4</v>
      </c>
      <c r="L63" s="4">
        <v>5.6680000000000001</v>
      </c>
      <c r="M63" s="4">
        <v>0.51900000000000013</v>
      </c>
      <c r="N63" s="2">
        <v>4</v>
      </c>
      <c r="O63" s="2" t="s">
        <v>75</v>
      </c>
      <c r="P63" s="2" t="s">
        <v>34</v>
      </c>
      <c r="R63" s="2" t="s">
        <v>73</v>
      </c>
      <c r="S63" s="2" t="s">
        <v>73</v>
      </c>
      <c r="T63" s="2">
        <v>18</v>
      </c>
      <c r="V63" s="2">
        <v>300</v>
      </c>
      <c r="W63" s="2" t="s">
        <v>73</v>
      </c>
      <c r="X63" s="2">
        <v>16</v>
      </c>
      <c r="Z63" s="2" t="s">
        <v>89</v>
      </c>
      <c r="AA63" s="2">
        <v>10</v>
      </c>
      <c r="AC63" s="2" t="s">
        <v>609</v>
      </c>
      <c r="AF63" s="2" t="s">
        <v>189</v>
      </c>
      <c r="AG63" s="2" t="s">
        <v>87</v>
      </c>
      <c r="AH63" s="2" t="s">
        <v>558</v>
      </c>
    </row>
    <row r="64" spans="1:34" x14ac:dyDescent="0.2">
      <c r="A64" s="2">
        <v>63</v>
      </c>
      <c r="B64" s="2" t="s">
        <v>381</v>
      </c>
      <c r="C64" s="2" t="s">
        <v>382</v>
      </c>
      <c r="D64" s="2" t="s">
        <v>92</v>
      </c>
      <c r="E64" s="2" t="s">
        <v>93</v>
      </c>
      <c r="F64" s="2" t="s">
        <v>78</v>
      </c>
      <c r="G64" s="2">
        <v>2</v>
      </c>
      <c r="H64" s="2">
        <v>4</v>
      </c>
      <c r="I64" s="4">
        <v>146</v>
      </c>
      <c r="J64" s="4">
        <v>15</v>
      </c>
      <c r="K64" s="2">
        <v>2</v>
      </c>
      <c r="L64" s="4">
        <v>113</v>
      </c>
      <c r="M64" s="4">
        <v>19</v>
      </c>
      <c r="N64" s="2">
        <v>2</v>
      </c>
      <c r="O64" s="2" t="s">
        <v>141</v>
      </c>
      <c r="Q64" s="2">
        <v>0.5</v>
      </c>
      <c r="R64" s="2" t="s">
        <v>73</v>
      </c>
      <c r="S64" s="2" t="s">
        <v>73</v>
      </c>
      <c r="T64" s="2">
        <v>24</v>
      </c>
      <c r="V64" s="2">
        <v>35</v>
      </c>
      <c r="W64" s="2" t="s">
        <v>73</v>
      </c>
      <c r="X64" s="2">
        <v>12</v>
      </c>
      <c r="Z64" s="2" t="s">
        <v>89</v>
      </c>
      <c r="AC64" s="2" t="s">
        <v>116</v>
      </c>
      <c r="AF64" s="2" t="s">
        <v>142</v>
      </c>
      <c r="AG64" s="2" t="s">
        <v>73</v>
      </c>
      <c r="AH64" s="2" t="s">
        <v>384</v>
      </c>
    </row>
    <row r="65" spans="1:34" x14ac:dyDescent="0.2">
      <c r="A65" s="2">
        <v>64</v>
      </c>
      <c r="B65" s="2" t="s">
        <v>381</v>
      </c>
      <c r="C65" s="2" t="s">
        <v>382</v>
      </c>
      <c r="D65" s="2" t="s">
        <v>92</v>
      </c>
      <c r="E65" s="2" t="s">
        <v>93</v>
      </c>
      <c r="F65" s="2" t="s">
        <v>80</v>
      </c>
      <c r="G65" s="2">
        <v>2</v>
      </c>
      <c r="H65" s="2">
        <v>4</v>
      </c>
      <c r="I65" s="4">
        <v>6.1</v>
      </c>
      <c r="J65" s="4">
        <v>0.5</v>
      </c>
      <c r="K65" s="2">
        <v>2</v>
      </c>
      <c r="L65" s="4">
        <v>6.2</v>
      </c>
      <c r="M65" s="4">
        <v>0.7</v>
      </c>
      <c r="N65" s="2">
        <v>2</v>
      </c>
      <c r="O65" s="2" t="s">
        <v>141</v>
      </c>
      <c r="Q65" s="2">
        <v>0.5</v>
      </c>
      <c r="R65" s="2" t="s">
        <v>73</v>
      </c>
      <c r="S65" s="2" t="s">
        <v>73</v>
      </c>
      <c r="T65" s="2">
        <v>24</v>
      </c>
      <c r="V65" s="2">
        <v>35</v>
      </c>
      <c r="W65" s="2" t="s">
        <v>73</v>
      </c>
      <c r="X65" s="2">
        <v>12</v>
      </c>
      <c r="Z65" s="2" t="s">
        <v>89</v>
      </c>
      <c r="AC65" s="2" t="s">
        <v>116</v>
      </c>
      <c r="AF65" s="2" t="s">
        <v>142</v>
      </c>
      <c r="AG65" s="2" t="s">
        <v>73</v>
      </c>
      <c r="AH65" s="2" t="s">
        <v>384</v>
      </c>
    </row>
    <row r="66" spans="1:34" x14ac:dyDescent="0.2">
      <c r="A66" s="2">
        <v>65</v>
      </c>
      <c r="B66" s="2" t="s">
        <v>411</v>
      </c>
      <c r="C66" s="2" t="s">
        <v>412</v>
      </c>
      <c r="D66" s="2" t="s">
        <v>121</v>
      </c>
      <c r="E66" s="2" t="s">
        <v>122</v>
      </c>
      <c r="F66" s="2" t="s">
        <v>78</v>
      </c>
      <c r="G66" s="2">
        <v>0.2</v>
      </c>
      <c r="H66" s="2">
        <v>35</v>
      </c>
      <c r="I66" s="4">
        <v>454.25806451612902</v>
      </c>
      <c r="J66" s="4">
        <v>18.967741935483872</v>
      </c>
      <c r="K66" s="6">
        <v>3</v>
      </c>
      <c r="L66" s="4">
        <v>36.172043010752688</v>
      </c>
      <c r="M66" s="4">
        <v>1.2903225806451613</v>
      </c>
      <c r="N66" s="2">
        <v>3</v>
      </c>
      <c r="O66" s="2" t="s">
        <v>95</v>
      </c>
      <c r="P66" s="2" t="s">
        <v>34</v>
      </c>
      <c r="R66" s="2" t="s">
        <v>73</v>
      </c>
      <c r="S66" s="2" t="s">
        <v>73</v>
      </c>
      <c r="T66" s="2">
        <v>20</v>
      </c>
      <c r="V66" s="2">
        <v>400</v>
      </c>
      <c r="W66" s="2" t="s">
        <v>73</v>
      </c>
      <c r="X66" s="2">
        <v>16</v>
      </c>
      <c r="Z66" s="2" t="s">
        <v>98</v>
      </c>
      <c r="AC66" s="2" t="s">
        <v>116</v>
      </c>
      <c r="AF66" s="2" t="s">
        <v>142</v>
      </c>
      <c r="AG66" s="2" t="s">
        <v>73</v>
      </c>
      <c r="AH66" s="2" t="s">
        <v>617</v>
      </c>
    </row>
    <row r="67" spans="1:34" x14ac:dyDescent="0.2">
      <c r="A67" s="2">
        <v>66</v>
      </c>
      <c r="B67" s="2" t="s">
        <v>411</v>
      </c>
      <c r="C67" s="2" t="s">
        <v>412</v>
      </c>
      <c r="D67" s="2" t="s">
        <v>121</v>
      </c>
      <c r="E67" s="2" t="s">
        <v>122</v>
      </c>
      <c r="F67" s="2" t="s">
        <v>80</v>
      </c>
      <c r="G67" s="2">
        <v>0.2</v>
      </c>
      <c r="H67" s="2">
        <v>35</v>
      </c>
      <c r="I67" s="4">
        <v>5.7477551020408164</v>
      </c>
      <c r="J67" s="4">
        <v>0.28185930468732789</v>
      </c>
      <c r="K67" s="6">
        <v>3</v>
      </c>
      <c r="L67" s="4">
        <v>3.6967032967032964</v>
      </c>
      <c r="M67" s="4">
        <v>0.23092792356596545</v>
      </c>
      <c r="N67" s="2">
        <v>3</v>
      </c>
      <c r="O67" s="2" t="s">
        <v>95</v>
      </c>
      <c r="P67" s="2" t="s">
        <v>34</v>
      </c>
      <c r="R67" s="2" t="s">
        <v>73</v>
      </c>
      <c r="S67" s="2" t="s">
        <v>73</v>
      </c>
      <c r="T67" s="2">
        <v>20</v>
      </c>
      <c r="V67" s="2">
        <v>400</v>
      </c>
      <c r="W67" s="2" t="s">
        <v>73</v>
      </c>
      <c r="X67" s="2">
        <v>16</v>
      </c>
      <c r="Z67" s="2" t="s">
        <v>98</v>
      </c>
      <c r="AC67" s="2" t="s">
        <v>116</v>
      </c>
      <c r="AF67" s="2" t="s">
        <v>142</v>
      </c>
      <c r="AG67" s="2" t="s">
        <v>73</v>
      </c>
      <c r="AH67" s="2" t="s">
        <v>617</v>
      </c>
    </row>
    <row r="68" spans="1:34" x14ac:dyDescent="0.2">
      <c r="A68" s="2">
        <v>67</v>
      </c>
      <c r="B68" s="2" t="s">
        <v>411</v>
      </c>
      <c r="C68" s="2" t="s">
        <v>413</v>
      </c>
      <c r="D68" s="2" t="s">
        <v>121</v>
      </c>
      <c r="E68" s="2" t="s">
        <v>122</v>
      </c>
      <c r="F68" s="2" t="s">
        <v>78</v>
      </c>
      <c r="G68" s="2">
        <v>0.2</v>
      </c>
      <c r="H68" s="2">
        <v>35</v>
      </c>
      <c r="I68" s="4">
        <v>582.19354838709671</v>
      </c>
      <c r="J68" s="4">
        <v>20.516129032258064</v>
      </c>
      <c r="K68" s="6">
        <v>3</v>
      </c>
      <c r="L68" s="4">
        <v>19.218216318785576</v>
      </c>
      <c r="M68" s="4">
        <v>1.1531875933167717</v>
      </c>
      <c r="N68" s="2">
        <v>3</v>
      </c>
      <c r="O68" s="2" t="s">
        <v>95</v>
      </c>
      <c r="P68" s="2" t="s">
        <v>34</v>
      </c>
      <c r="R68" s="2" t="s">
        <v>73</v>
      </c>
      <c r="S68" s="2" t="s">
        <v>73</v>
      </c>
      <c r="T68" s="2">
        <v>20</v>
      </c>
      <c r="V68" s="2">
        <v>400</v>
      </c>
      <c r="W68" s="2" t="s">
        <v>73</v>
      </c>
      <c r="X68" s="2">
        <v>16</v>
      </c>
      <c r="Z68" s="2" t="s">
        <v>98</v>
      </c>
      <c r="AC68" s="2" t="s">
        <v>116</v>
      </c>
      <c r="AF68" s="2" t="s">
        <v>142</v>
      </c>
      <c r="AG68" s="2" t="s">
        <v>73</v>
      </c>
      <c r="AH68" s="2" t="s">
        <v>617</v>
      </c>
    </row>
    <row r="69" spans="1:34" x14ac:dyDescent="0.2">
      <c r="A69" s="2">
        <v>68</v>
      </c>
      <c r="B69" s="2" t="s">
        <v>411</v>
      </c>
      <c r="C69" s="2" t="s">
        <v>413</v>
      </c>
      <c r="D69" s="2" t="s">
        <v>121</v>
      </c>
      <c r="E69" s="2" t="s">
        <v>122</v>
      </c>
      <c r="F69" s="2" t="s">
        <v>80</v>
      </c>
      <c r="G69" s="2">
        <v>0.2</v>
      </c>
      <c r="H69" s="2">
        <v>35</v>
      </c>
      <c r="I69" s="4">
        <v>8.5373699148533575</v>
      </c>
      <c r="J69" s="4">
        <v>1.5559129949031225</v>
      </c>
      <c r="K69" s="6">
        <v>3</v>
      </c>
      <c r="L69" s="4">
        <v>4.2554621848739496</v>
      </c>
      <c r="M69" s="4">
        <v>1.1525813570686656</v>
      </c>
      <c r="N69" s="2">
        <v>3</v>
      </c>
      <c r="O69" s="2" t="s">
        <v>95</v>
      </c>
      <c r="P69" s="2" t="s">
        <v>34</v>
      </c>
      <c r="R69" s="2" t="s">
        <v>73</v>
      </c>
      <c r="S69" s="2" t="s">
        <v>73</v>
      </c>
      <c r="T69" s="2">
        <v>20</v>
      </c>
      <c r="V69" s="2">
        <v>400</v>
      </c>
      <c r="W69" s="2" t="s">
        <v>73</v>
      </c>
      <c r="X69" s="2">
        <v>16</v>
      </c>
      <c r="Z69" s="2" t="s">
        <v>98</v>
      </c>
      <c r="AC69" s="2" t="s">
        <v>116</v>
      </c>
      <c r="AF69" s="2" t="s">
        <v>142</v>
      </c>
      <c r="AG69" s="2" t="s">
        <v>73</v>
      </c>
      <c r="AH69" s="2" t="s">
        <v>617</v>
      </c>
    </row>
    <row r="70" spans="1:34" x14ac:dyDescent="0.2">
      <c r="A70" s="2">
        <v>69</v>
      </c>
      <c r="B70" s="2" t="s">
        <v>411</v>
      </c>
      <c r="C70" s="2" t="s">
        <v>414</v>
      </c>
      <c r="D70" s="2" t="s">
        <v>121</v>
      </c>
      <c r="E70" s="2" t="s">
        <v>122</v>
      </c>
      <c r="F70" s="2" t="s">
        <v>78</v>
      </c>
      <c r="G70" s="2">
        <v>0.2</v>
      </c>
      <c r="H70" s="2">
        <v>35</v>
      </c>
      <c r="I70" s="4">
        <v>456.51612903225816</v>
      </c>
      <c r="J70" s="4">
        <v>20.12903225806452</v>
      </c>
      <c r="K70" s="6">
        <v>3</v>
      </c>
      <c r="L70" s="4">
        <v>37.12903225806452</v>
      </c>
      <c r="M70" s="4">
        <v>1.2903225806451615</v>
      </c>
      <c r="N70" s="2">
        <v>3</v>
      </c>
      <c r="O70" s="2" t="s">
        <v>95</v>
      </c>
      <c r="P70" s="2" t="s">
        <v>34</v>
      </c>
      <c r="R70" s="2" t="s">
        <v>73</v>
      </c>
      <c r="S70" s="2" t="s">
        <v>73</v>
      </c>
      <c r="T70" s="2">
        <v>20</v>
      </c>
      <c r="V70" s="2">
        <v>400</v>
      </c>
      <c r="W70" s="2" t="s">
        <v>73</v>
      </c>
      <c r="X70" s="2">
        <v>16</v>
      </c>
      <c r="Z70" s="2" t="s">
        <v>98</v>
      </c>
      <c r="AC70" s="2" t="s">
        <v>116</v>
      </c>
      <c r="AF70" s="2" t="s">
        <v>142</v>
      </c>
      <c r="AG70" s="2" t="s">
        <v>73</v>
      </c>
      <c r="AH70" s="2" t="s">
        <v>617</v>
      </c>
    </row>
    <row r="71" spans="1:34" x14ac:dyDescent="0.2">
      <c r="A71" s="2">
        <v>70</v>
      </c>
      <c r="B71" s="2" t="s">
        <v>411</v>
      </c>
      <c r="C71" s="2" t="s">
        <v>414</v>
      </c>
      <c r="D71" s="2" t="s">
        <v>121</v>
      </c>
      <c r="E71" s="2" t="s">
        <v>122</v>
      </c>
      <c r="F71" s="2" t="s">
        <v>80</v>
      </c>
      <c r="G71" s="2">
        <v>0.2</v>
      </c>
      <c r="H71" s="2">
        <v>35</v>
      </c>
      <c r="I71" s="4">
        <v>8.1302183071620089</v>
      </c>
      <c r="J71" s="4">
        <v>0.5644032756821058</v>
      </c>
      <c r="K71" s="6">
        <v>3</v>
      </c>
      <c r="L71" s="4">
        <v>3.4616541353383461</v>
      </c>
      <c r="M71" s="4">
        <v>0.13476089139808478</v>
      </c>
      <c r="N71" s="2">
        <v>3</v>
      </c>
      <c r="O71" s="2" t="s">
        <v>95</v>
      </c>
      <c r="P71" s="2" t="s">
        <v>34</v>
      </c>
      <c r="R71" s="2" t="s">
        <v>73</v>
      </c>
      <c r="S71" s="2" t="s">
        <v>73</v>
      </c>
      <c r="T71" s="2">
        <v>20</v>
      </c>
      <c r="V71" s="2">
        <v>400</v>
      </c>
      <c r="W71" s="2" t="s">
        <v>73</v>
      </c>
      <c r="X71" s="2">
        <v>16</v>
      </c>
      <c r="Z71" s="2" t="s">
        <v>98</v>
      </c>
      <c r="AC71" s="2" t="s">
        <v>116</v>
      </c>
      <c r="AF71" s="2" t="s">
        <v>142</v>
      </c>
      <c r="AG71" s="2" t="s">
        <v>73</v>
      </c>
      <c r="AH71" s="2" t="s">
        <v>617</v>
      </c>
    </row>
    <row r="72" spans="1:34" x14ac:dyDescent="0.2">
      <c r="A72" s="2">
        <v>71</v>
      </c>
      <c r="B72" s="2" t="s">
        <v>411</v>
      </c>
      <c r="C72" s="2" t="s">
        <v>415</v>
      </c>
      <c r="D72" s="2" t="s">
        <v>121</v>
      </c>
      <c r="E72" s="2" t="s">
        <v>122</v>
      </c>
      <c r="F72" s="2" t="s">
        <v>78</v>
      </c>
      <c r="G72" s="2">
        <v>0.2</v>
      </c>
      <c r="H72" s="2">
        <v>35</v>
      </c>
      <c r="I72" s="4">
        <v>470.51612903225799</v>
      </c>
      <c r="J72" s="4">
        <v>8.1290322580645142</v>
      </c>
      <c r="K72" s="6">
        <v>3</v>
      </c>
      <c r="L72" s="4">
        <v>34.1505376344086</v>
      </c>
      <c r="M72" s="4">
        <v>1.0322580645161288</v>
      </c>
      <c r="N72" s="2">
        <v>3</v>
      </c>
      <c r="O72" s="2" t="s">
        <v>95</v>
      </c>
      <c r="P72" s="2" t="s">
        <v>34</v>
      </c>
      <c r="R72" s="2" t="s">
        <v>73</v>
      </c>
      <c r="S72" s="2" t="s">
        <v>73</v>
      </c>
      <c r="T72" s="2">
        <v>20</v>
      </c>
      <c r="V72" s="2">
        <v>400</v>
      </c>
      <c r="W72" s="2" t="s">
        <v>73</v>
      </c>
      <c r="X72" s="2">
        <v>16</v>
      </c>
      <c r="Z72" s="2" t="s">
        <v>98</v>
      </c>
      <c r="AC72" s="2" t="s">
        <v>116</v>
      </c>
      <c r="AF72" s="2" t="s">
        <v>142</v>
      </c>
      <c r="AG72" s="2" t="s">
        <v>73</v>
      </c>
      <c r="AH72" s="2" t="s">
        <v>617</v>
      </c>
    </row>
    <row r="73" spans="1:34" x14ac:dyDescent="0.2">
      <c r="A73" s="2">
        <v>72</v>
      </c>
      <c r="B73" s="2" t="s">
        <v>411</v>
      </c>
      <c r="C73" s="2" t="s">
        <v>415</v>
      </c>
      <c r="D73" s="2" t="s">
        <v>121</v>
      </c>
      <c r="E73" s="2" t="s">
        <v>122</v>
      </c>
      <c r="F73" s="2" t="s">
        <v>80</v>
      </c>
      <c r="G73" s="2">
        <v>0.2</v>
      </c>
      <c r="H73" s="2">
        <v>35</v>
      </c>
      <c r="I73" s="4">
        <v>5.6932084309133479</v>
      </c>
      <c r="J73" s="4">
        <v>0.12539511907961245</v>
      </c>
      <c r="K73" s="6">
        <v>3</v>
      </c>
      <c r="L73" s="4">
        <v>2.9719276356830941</v>
      </c>
      <c r="M73" s="4">
        <v>0.11888227546865184</v>
      </c>
      <c r="N73" s="2">
        <v>3</v>
      </c>
      <c r="O73" s="2" t="s">
        <v>95</v>
      </c>
      <c r="P73" s="2" t="s">
        <v>34</v>
      </c>
      <c r="R73" s="2" t="s">
        <v>73</v>
      </c>
      <c r="S73" s="2" t="s">
        <v>73</v>
      </c>
      <c r="T73" s="2">
        <v>20</v>
      </c>
      <c r="V73" s="2">
        <v>400</v>
      </c>
      <c r="W73" s="2" t="s">
        <v>73</v>
      </c>
      <c r="X73" s="2">
        <v>16</v>
      </c>
      <c r="Z73" s="2" t="s">
        <v>98</v>
      </c>
      <c r="AC73" s="2" t="s">
        <v>116</v>
      </c>
      <c r="AF73" s="2" t="s">
        <v>142</v>
      </c>
      <c r="AG73" s="2" t="s">
        <v>73</v>
      </c>
      <c r="AH73" s="2" t="s">
        <v>617</v>
      </c>
    </row>
    <row r="74" spans="1:34" x14ac:dyDescent="0.2">
      <c r="A74" s="2">
        <v>73</v>
      </c>
      <c r="B74" s="2" t="s">
        <v>411</v>
      </c>
      <c r="C74" s="2" t="s">
        <v>416</v>
      </c>
      <c r="D74" s="2" t="s">
        <v>121</v>
      </c>
      <c r="E74" s="2" t="s">
        <v>122</v>
      </c>
      <c r="F74" s="2" t="s">
        <v>78</v>
      </c>
      <c r="G74" s="2">
        <v>0.2</v>
      </c>
      <c r="H74" s="2">
        <v>35</v>
      </c>
      <c r="I74" s="4">
        <v>1252.6451612903227</v>
      </c>
      <c r="J74" s="4">
        <v>61.935483870967751</v>
      </c>
      <c r="K74" s="6">
        <v>3</v>
      </c>
      <c r="L74" s="4">
        <v>45.333333333333329</v>
      </c>
      <c r="M74" s="4">
        <v>1.3333333333333333</v>
      </c>
      <c r="N74" s="2">
        <v>3</v>
      </c>
      <c r="O74" s="2" t="s">
        <v>95</v>
      </c>
      <c r="P74" s="2" t="s">
        <v>34</v>
      </c>
      <c r="R74" s="2" t="s">
        <v>73</v>
      </c>
      <c r="S74" s="2" t="s">
        <v>73</v>
      </c>
      <c r="T74" s="2">
        <v>20</v>
      </c>
      <c r="V74" s="2">
        <v>400</v>
      </c>
      <c r="W74" s="2" t="s">
        <v>73</v>
      </c>
      <c r="X74" s="2">
        <v>16</v>
      </c>
      <c r="Z74" s="2" t="s">
        <v>98</v>
      </c>
      <c r="AC74" s="2" t="s">
        <v>116</v>
      </c>
      <c r="AF74" s="2" t="s">
        <v>142</v>
      </c>
      <c r="AG74" s="2" t="s">
        <v>73</v>
      </c>
      <c r="AH74" s="2" t="s">
        <v>617</v>
      </c>
    </row>
    <row r="75" spans="1:34" x14ac:dyDescent="0.2">
      <c r="A75" s="2">
        <v>74</v>
      </c>
      <c r="B75" s="2" t="s">
        <v>411</v>
      </c>
      <c r="C75" s="2" t="s">
        <v>416</v>
      </c>
      <c r="D75" s="2" t="s">
        <v>121</v>
      </c>
      <c r="E75" s="2" t="s">
        <v>122</v>
      </c>
      <c r="F75" s="2" t="s">
        <v>80</v>
      </c>
      <c r="G75" s="2">
        <v>0.2</v>
      </c>
      <c r="H75" s="2">
        <v>35</v>
      </c>
      <c r="I75" s="4">
        <v>8.8054421768707485</v>
      </c>
      <c r="J75" s="4">
        <v>0.51738965783346647</v>
      </c>
      <c r="K75" s="6">
        <v>3</v>
      </c>
      <c r="L75" s="4">
        <v>4.2614555256064683</v>
      </c>
      <c r="M75" s="4">
        <v>0.25416612356481805</v>
      </c>
      <c r="N75" s="2">
        <v>3</v>
      </c>
      <c r="O75" s="2" t="s">
        <v>95</v>
      </c>
      <c r="P75" s="2" t="s">
        <v>34</v>
      </c>
      <c r="R75" s="2" t="s">
        <v>73</v>
      </c>
      <c r="S75" s="2" t="s">
        <v>73</v>
      </c>
      <c r="T75" s="2">
        <v>20</v>
      </c>
      <c r="V75" s="2">
        <v>400</v>
      </c>
      <c r="W75" s="2" t="s">
        <v>73</v>
      </c>
      <c r="X75" s="2">
        <v>16</v>
      </c>
      <c r="Z75" s="2" t="s">
        <v>98</v>
      </c>
      <c r="AC75" s="2" t="s">
        <v>116</v>
      </c>
      <c r="AF75" s="2" t="s">
        <v>142</v>
      </c>
      <c r="AG75" s="2" t="s">
        <v>73</v>
      </c>
      <c r="AH75" s="2" t="s">
        <v>617</v>
      </c>
    </row>
    <row r="76" spans="1:34" x14ac:dyDescent="0.2">
      <c r="A76" s="2">
        <v>75</v>
      </c>
      <c r="B76" s="2" t="s">
        <v>411</v>
      </c>
      <c r="C76" s="2" t="s">
        <v>417</v>
      </c>
      <c r="D76" s="2" t="s">
        <v>121</v>
      </c>
      <c r="E76" s="2" t="s">
        <v>122</v>
      </c>
      <c r="F76" s="2" t="s">
        <v>78</v>
      </c>
      <c r="G76" s="2">
        <v>0.2</v>
      </c>
      <c r="H76" s="2">
        <v>35</v>
      </c>
      <c r="I76" s="4">
        <v>430.06451612903226</v>
      </c>
      <c r="J76" s="4">
        <v>43.161290322580648</v>
      </c>
      <c r="K76" s="6">
        <v>3</v>
      </c>
      <c r="L76" s="4">
        <v>37.935483870967744</v>
      </c>
      <c r="M76" s="4">
        <v>0.967741935483871</v>
      </c>
      <c r="N76" s="2">
        <v>3</v>
      </c>
      <c r="O76" s="2" t="s">
        <v>95</v>
      </c>
      <c r="P76" s="2" t="s">
        <v>34</v>
      </c>
      <c r="R76" s="2" t="s">
        <v>73</v>
      </c>
      <c r="S76" s="2" t="s">
        <v>73</v>
      </c>
      <c r="T76" s="2">
        <v>20</v>
      </c>
      <c r="V76" s="2">
        <v>400</v>
      </c>
      <c r="W76" s="2" t="s">
        <v>73</v>
      </c>
      <c r="X76" s="2">
        <v>16</v>
      </c>
      <c r="Z76" s="2" t="s">
        <v>98</v>
      </c>
      <c r="AC76" s="2" t="s">
        <v>116</v>
      </c>
      <c r="AF76" s="2" t="s">
        <v>142</v>
      </c>
      <c r="AG76" s="2" t="s">
        <v>73</v>
      </c>
      <c r="AH76" s="2" t="s">
        <v>617</v>
      </c>
    </row>
    <row r="77" spans="1:34" x14ac:dyDescent="0.2">
      <c r="A77" s="2">
        <v>76</v>
      </c>
      <c r="B77" s="2" t="s">
        <v>411</v>
      </c>
      <c r="C77" s="2" t="s">
        <v>417</v>
      </c>
      <c r="D77" s="2" t="s">
        <v>121</v>
      </c>
      <c r="E77" s="2" t="s">
        <v>122</v>
      </c>
      <c r="F77" s="2" t="s">
        <v>80</v>
      </c>
      <c r="G77" s="2">
        <v>0.2</v>
      </c>
      <c r="H77" s="2">
        <v>35</v>
      </c>
      <c r="I77" s="4">
        <v>6.7778342653787487</v>
      </c>
      <c r="J77" s="4">
        <v>0.73924461988098245</v>
      </c>
      <c r="K77" s="6">
        <v>3</v>
      </c>
      <c r="L77" s="4">
        <v>2.7768595041322319</v>
      </c>
      <c r="M77" s="4">
        <v>0.17556992471814276</v>
      </c>
      <c r="N77" s="2">
        <v>3</v>
      </c>
      <c r="O77" s="2" t="s">
        <v>95</v>
      </c>
      <c r="P77" s="2" t="s">
        <v>34</v>
      </c>
      <c r="R77" s="2" t="s">
        <v>73</v>
      </c>
      <c r="S77" s="2" t="s">
        <v>73</v>
      </c>
      <c r="T77" s="2">
        <v>20</v>
      </c>
      <c r="V77" s="2">
        <v>400</v>
      </c>
      <c r="W77" s="2" t="s">
        <v>73</v>
      </c>
      <c r="X77" s="2">
        <v>16</v>
      </c>
      <c r="Z77" s="2" t="s">
        <v>98</v>
      </c>
      <c r="AC77" s="2" t="s">
        <v>116</v>
      </c>
      <c r="AF77" s="2" t="s">
        <v>142</v>
      </c>
      <c r="AG77" s="2" t="s">
        <v>73</v>
      </c>
      <c r="AH77" s="2" t="s">
        <v>617</v>
      </c>
    </row>
    <row r="78" spans="1:34" x14ac:dyDescent="0.2">
      <c r="A78" s="2">
        <v>77</v>
      </c>
      <c r="B78" s="2" t="s">
        <v>423</v>
      </c>
      <c r="C78" s="2" t="s">
        <v>236</v>
      </c>
      <c r="D78" s="2" t="s">
        <v>121</v>
      </c>
      <c r="E78" s="2" t="s">
        <v>122</v>
      </c>
      <c r="F78" s="2" t="s">
        <v>78</v>
      </c>
      <c r="G78" s="2">
        <v>0.45</v>
      </c>
      <c r="H78" s="2">
        <v>6.25</v>
      </c>
      <c r="I78" s="4">
        <v>693</v>
      </c>
      <c r="J78" s="4">
        <v>13.4</v>
      </c>
      <c r="K78" s="6">
        <v>6</v>
      </c>
      <c r="L78" s="4">
        <v>158</v>
      </c>
      <c r="M78" s="4">
        <v>2.5099999999999998</v>
      </c>
      <c r="N78" s="2">
        <v>6</v>
      </c>
      <c r="O78" s="2" t="s">
        <v>95</v>
      </c>
      <c r="P78" s="2" t="s">
        <v>616</v>
      </c>
      <c r="R78" s="2" t="s">
        <v>73</v>
      </c>
      <c r="S78" s="2" t="s">
        <v>73</v>
      </c>
      <c r="T78" s="2">
        <v>20</v>
      </c>
      <c r="V78" s="2">
        <v>30</v>
      </c>
      <c r="W78" s="2" t="s">
        <v>87</v>
      </c>
      <c r="X78" s="2">
        <v>12</v>
      </c>
      <c r="Y78" s="2">
        <v>34.700000000000003</v>
      </c>
      <c r="Z78" s="2" t="s">
        <v>98</v>
      </c>
      <c r="AC78" s="2" t="s">
        <v>116</v>
      </c>
      <c r="AF78" s="2" t="s">
        <v>104</v>
      </c>
      <c r="AG78" s="2" t="s">
        <v>73</v>
      </c>
      <c r="AH78" s="2" t="s">
        <v>559</v>
      </c>
    </row>
    <row r="79" spans="1:34" x14ac:dyDescent="0.2">
      <c r="A79" s="2">
        <v>78</v>
      </c>
      <c r="B79" s="2" t="s">
        <v>423</v>
      </c>
      <c r="C79" s="2" t="s">
        <v>236</v>
      </c>
      <c r="D79" s="2" t="s">
        <v>121</v>
      </c>
      <c r="E79" s="2" t="s">
        <v>122</v>
      </c>
      <c r="F79" s="2" t="s">
        <v>80</v>
      </c>
      <c r="G79" s="2">
        <v>0.45</v>
      </c>
      <c r="H79" s="2">
        <v>6.25</v>
      </c>
      <c r="I79" s="4">
        <v>9.11</v>
      </c>
      <c r="J79" s="4">
        <v>0.41</v>
      </c>
      <c r="K79" s="6">
        <v>6</v>
      </c>
      <c r="L79" s="4">
        <v>6.46</v>
      </c>
      <c r="M79" s="4">
        <v>0.28000000000000003</v>
      </c>
      <c r="N79" s="2">
        <v>6</v>
      </c>
      <c r="O79" s="2" t="s">
        <v>95</v>
      </c>
      <c r="P79" s="2" t="s">
        <v>616</v>
      </c>
      <c r="R79" s="2" t="s">
        <v>73</v>
      </c>
      <c r="S79" s="2" t="s">
        <v>73</v>
      </c>
      <c r="T79" s="2">
        <v>20</v>
      </c>
      <c r="V79" s="2">
        <v>30</v>
      </c>
      <c r="W79" s="2" t="s">
        <v>87</v>
      </c>
      <c r="X79" s="2">
        <v>12</v>
      </c>
      <c r="Y79" s="2">
        <v>34.700000000000003</v>
      </c>
      <c r="Z79" s="2" t="s">
        <v>98</v>
      </c>
      <c r="AC79" s="2" t="s">
        <v>116</v>
      </c>
      <c r="AF79" s="2" t="s">
        <v>104</v>
      </c>
      <c r="AG79" s="2" t="s">
        <v>73</v>
      </c>
      <c r="AH79" s="2" t="s">
        <v>559</v>
      </c>
    </row>
    <row r="80" spans="1:34" x14ac:dyDescent="0.2">
      <c r="A80" s="2">
        <v>79</v>
      </c>
      <c r="B80" s="2" t="s">
        <v>423</v>
      </c>
      <c r="C80" s="2" t="s">
        <v>236</v>
      </c>
      <c r="D80" s="2" t="s">
        <v>121</v>
      </c>
      <c r="E80" s="2" t="s">
        <v>122</v>
      </c>
      <c r="F80" s="2" t="s">
        <v>78</v>
      </c>
      <c r="G80" s="2">
        <v>0.45</v>
      </c>
      <c r="H80" s="2">
        <v>6.25</v>
      </c>
      <c r="I80" s="4">
        <v>661</v>
      </c>
      <c r="J80" s="4">
        <v>24.3</v>
      </c>
      <c r="K80" s="6">
        <v>6</v>
      </c>
      <c r="L80" s="4">
        <v>173</v>
      </c>
      <c r="M80" s="4">
        <v>14</v>
      </c>
      <c r="N80" s="2">
        <v>6</v>
      </c>
      <c r="O80" s="2" t="s">
        <v>95</v>
      </c>
      <c r="P80" s="2" t="s">
        <v>616</v>
      </c>
      <c r="R80" s="2" t="s">
        <v>73</v>
      </c>
      <c r="S80" s="2" t="s">
        <v>73</v>
      </c>
      <c r="T80" s="2">
        <v>20</v>
      </c>
      <c r="V80" s="2">
        <v>140</v>
      </c>
      <c r="W80" s="2" t="s">
        <v>73</v>
      </c>
      <c r="X80" s="2">
        <v>12</v>
      </c>
      <c r="Y80" s="2">
        <v>34.700000000000003</v>
      </c>
      <c r="Z80" s="2" t="s">
        <v>98</v>
      </c>
      <c r="AC80" s="2" t="s">
        <v>116</v>
      </c>
      <c r="AF80" s="2" t="s">
        <v>104</v>
      </c>
      <c r="AG80" s="2" t="s">
        <v>73</v>
      </c>
      <c r="AH80" s="2" t="s">
        <v>560</v>
      </c>
    </row>
    <row r="81" spans="1:34" x14ac:dyDescent="0.2">
      <c r="A81" s="2">
        <v>80</v>
      </c>
      <c r="B81" s="2" t="s">
        <v>423</v>
      </c>
      <c r="C81" s="2" t="s">
        <v>236</v>
      </c>
      <c r="D81" s="2" t="s">
        <v>121</v>
      </c>
      <c r="E81" s="2" t="s">
        <v>122</v>
      </c>
      <c r="F81" s="2" t="s">
        <v>80</v>
      </c>
      <c r="G81" s="2">
        <v>0.45</v>
      </c>
      <c r="H81" s="2">
        <v>6.25</v>
      </c>
      <c r="I81" s="4">
        <v>12.05</v>
      </c>
      <c r="J81" s="4">
        <v>0.7</v>
      </c>
      <c r="K81" s="6">
        <v>6</v>
      </c>
      <c r="L81" s="4">
        <v>8.7200000000000006</v>
      </c>
      <c r="M81" s="4">
        <v>1.45</v>
      </c>
      <c r="N81" s="2">
        <v>6</v>
      </c>
      <c r="O81" s="2" t="s">
        <v>95</v>
      </c>
      <c r="P81" s="2" t="s">
        <v>616</v>
      </c>
      <c r="R81" s="2" t="s">
        <v>73</v>
      </c>
      <c r="S81" s="2" t="s">
        <v>73</v>
      </c>
      <c r="T81" s="2">
        <v>20</v>
      </c>
      <c r="V81" s="2">
        <v>140</v>
      </c>
      <c r="W81" s="2" t="s">
        <v>73</v>
      </c>
      <c r="X81" s="2">
        <v>12</v>
      </c>
      <c r="Y81" s="2">
        <v>34.700000000000003</v>
      </c>
      <c r="Z81" s="2" t="s">
        <v>98</v>
      </c>
      <c r="AC81" s="2" t="s">
        <v>116</v>
      </c>
      <c r="AF81" s="2" t="s">
        <v>104</v>
      </c>
      <c r="AG81" s="2" t="s">
        <v>73</v>
      </c>
      <c r="AH81" s="2" t="s">
        <v>560</v>
      </c>
    </row>
    <row r="82" spans="1:34" x14ac:dyDescent="0.2">
      <c r="A82" s="2">
        <v>81</v>
      </c>
      <c r="B82" s="2" t="s">
        <v>450</v>
      </c>
      <c r="C82" s="2" t="s">
        <v>451</v>
      </c>
      <c r="D82" s="2" t="s">
        <v>121</v>
      </c>
      <c r="E82" s="2" t="s">
        <v>106</v>
      </c>
      <c r="F82" s="2" t="s">
        <v>78</v>
      </c>
      <c r="G82" s="2">
        <v>2.4</v>
      </c>
      <c r="H82" s="2">
        <v>14.37</v>
      </c>
      <c r="I82" s="4">
        <v>142.35333333333332</v>
      </c>
      <c r="J82" s="4">
        <v>14.86034633376236</v>
      </c>
      <c r="K82" s="6">
        <v>3</v>
      </c>
      <c r="L82" s="4">
        <v>43.097887177806903</v>
      </c>
      <c r="M82" s="4">
        <v>4.8177235984292794</v>
      </c>
      <c r="N82" s="2">
        <v>3</v>
      </c>
      <c r="O82" s="2" t="s">
        <v>95</v>
      </c>
      <c r="P82" s="2" t="s">
        <v>34</v>
      </c>
      <c r="R82" s="2" t="s">
        <v>73</v>
      </c>
      <c r="S82" s="2" t="s">
        <v>73</v>
      </c>
      <c r="T82" s="2">
        <v>21.5</v>
      </c>
      <c r="V82" s="2">
        <v>115</v>
      </c>
      <c r="W82" s="2" t="s">
        <v>73</v>
      </c>
      <c r="X82" s="2">
        <v>12</v>
      </c>
      <c r="Z82" s="2" t="s">
        <v>98</v>
      </c>
      <c r="AC82" s="2" t="s">
        <v>116</v>
      </c>
      <c r="AF82" s="2" t="s">
        <v>123</v>
      </c>
      <c r="AG82" s="2" t="s">
        <v>87</v>
      </c>
      <c r="AH82" s="2" t="s">
        <v>452</v>
      </c>
    </row>
    <row r="83" spans="1:34" x14ac:dyDescent="0.2">
      <c r="A83" s="2">
        <v>82</v>
      </c>
      <c r="B83" s="2" t="s">
        <v>450</v>
      </c>
      <c r="C83" s="2" t="s">
        <v>451</v>
      </c>
      <c r="D83" s="2" t="s">
        <v>121</v>
      </c>
      <c r="E83" s="2" t="s">
        <v>106</v>
      </c>
      <c r="F83" s="2" t="s">
        <v>80</v>
      </c>
      <c r="G83" s="2">
        <v>2.4</v>
      </c>
      <c r="H83" s="2">
        <v>14.37</v>
      </c>
      <c r="I83" s="4">
        <v>4.6236983448427047</v>
      </c>
      <c r="J83" s="4">
        <v>9.8053385880424948E-2</v>
      </c>
      <c r="K83" s="6">
        <v>3</v>
      </c>
      <c r="L83" s="4">
        <v>4.35351686</v>
      </c>
      <c r="M83" s="4">
        <v>0.19622990000000001</v>
      </c>
      <c r="N83" s="2">
        <v>3</v>
      </c>
      <c r="O83" s="2" t="s">
        <v>95</v>
      </c>
      <c r="P83" s="2" t="s">
        <v>34</v>
      </c>
      <c r="R83" s="2" t="s">
        <v>73</v>
      </c>
      <c r="S83" s="2" t="s">
        <v>73</v>
      </c>
      <c r="T83" s="2">
        <v>21.5</v>
      </c>
      <c r="V83" s="2">
        <v>115</v>
      </c>
      <c r="W83" s="2" t="s">
        <v>73</v>
      </c>
      <c r="X83" s="2">
        <v>12</v>
      </c>
      <c r="Z83" s="2" t="s">
        <v>98</v>
      </c>
      <c r="AC83" s="2" t="s">
        <v>116</v>
      </c>
      <c r="AF83" s="2" t="s">
        <v>123</v>
      </c>
      <c r="AG83" s="2" t="s">
        <v>87</v>
      </c>
      <c r="AH83" s="2" t="s">
        <v>452</v>
      </c>
    </row>
    <row r="84" spans="1:34" x14ac:dyDescent="0.2">
      <c r="A84" s="2">
        <v>83</v>
      </c>
      <c r="B84" s="2" t="s">
        <v>450</v>
      </c>
      <c r="C84" s="2" t="s">
        <v>454</v>
      </c>
      <c r="D84" s="2" t="s">
        <v>202</v>
      </c>
      <c r="E84" s="2" t="s">
        <v>106</v>
      </c>
      <c r="F84" s="2" t="s">
        <v>78</v>
      </c>
      <c r="G84" s="2">
        <v>2.4</v>
      </c>
      <c r="H84" s="2">
        <v>14.37</v>
      </c>
      <c r="I84" s="4">
        <v>138.2969646346229</v>
      </c>
      <c r="J84" s="4">
        <v>9.704059943238514</v>
      </c>
      <c r="K84" s="6">
        <v>3</v>
      </c>
      <c r="L84" s="4">
        <v>34.329446250541821</v>
      </c>
      <c r="M84" s="4">
        <v>3.1944400890774465</v>
      </c>
      <c r="N84" s="2">
        <v>3</v>
      </c>
      <c r="O84" s="2" t="s">
        <v>95</v>
      </c>
      <c r="P84" s="2" t="s">
        <v>34</v>
      </c>
      <c r="R84" s="2" t="s">
        <v>73</v>
      </c>
      <c r="S84" s="2" t="s">
        <v>73</v>
      </c>
      <c r="T84" s="2">
        <v>21.5</v>
      </c>
      <c r="V84" s="2">
        <v>115</v>
      </c>
      <c r="W84" s="2" t="s">
        <v>73</v>
      </c>
      <c r="X84" s="2">
        <v>12</v>
      </c>
      <c r="Z84" s="2" t="s">
        <v>98</v>
      </c>
      <c r="AC84" s="2" t="s">
        <v>116</v>
      </c>
      <c r="AF84" s="2" t="s">
        <v>123</v>
      </c>
      <c r="AG84" s="2" t="s">
        <v>87</v>
      </c>
      <c r="AH84" s="2" t="s">
        <v>452</v>
      </c>
    </row>
    <row r="85" spans="1:34" x14ac:dyDescent="0.2">
      <c r="A85" s="2">
        <v>84</v>
      </c>
      <c r="B85" s="2" t="s">
        <v>450</v>
      </c>
      <c r="C85" s="2" t="s">
        <v>454</v>
      </c>
      <c r="D85" s="2" t="s">
        <v>202</v>
      </c>
      <c r="E85" s="2" t="s">
        <v>106</v>
      </c>
      <c r="F85" s="2" t="s">
        <v>80</v>
      </c>
      <c r="G85" s="2">
        <v>2.4</v>
      </c>
      <c r="H85" s="2">
        <v>14.37</v>
      </c>
      <c r="I85" s="4">
        <v>4.4247566102444962</v>
      </c>
      <c r="J85" s="4">
        <v>8.7348095380267582E-2</v>
      </c>
      <c r="K85" s="6">
        <v>3</v>
      </c>
      <c r="L85" s="4">
        <v>3.5307199211045366</v>
      </c>
      <c r="M85" s="4">
        <v>8.716513536366427E-2</v>
      </c>
      <c r="N85" s="2">
        <v>3</v>
      </c>
      <c r="O85" s="2" t="s">
        <v>95</v>
      </c>
      <c r="P85" s="2" t="s">
        <v>34</v>
      </c>
      <c r="R85" s="2" t="s">
        <v>73</v>
      </c>
      <c r="S85" s="2" t="s">
        <v>73</v>
      </c>
      <c r="T85" s="2">
        <v>21.5</v>
      </c>
      <c r="V85" s="2">
        <v>115</v>
      </c>
      <c r="W85" s="2" t="s">
        <v>73</v>
      </c>
      <c r="X85" s="2">
        <v>12</v>
      </c>
      <c r="Z85" s="2" t="s">
        <v>98</v>
      </c>
      <c r="AC85" s="2" t="s">
        <v>116</v>
      </c>
      <c r="AF85" s="2" t="s">
        <v>123</v>
      </c>
      <c r="AG85" s="2" t="s">
        <v>87</v>
      </c>
      <c r="AH85" s="2" t="s">
        <v>452</v>
      </c>
    </row>
    <row r="86" spans="1:34" x14ac:dyDescent="0.2">
      <c r="A86" s="2">
        <v>85</v>
      </c>
      <c r="B86" s="2" t="s">
        <v>472</v>
      </c>
      <c r="C86" s="2" t="s">
        <v>473</v>
      </c>
      <c r="D86" s="2" t="s">
        <v>92</v>
      </c>
      <c r="E86" s="2" t="s">
        <v>150</v>
      </c>
      <c r="F86" s="2" t="s">
        <v>78</v>
      </c>
      <c r="G86" s="2">
        <v>0.2</v>
      </c>
      <c r="H86" s="2">
        <v>20</v>
      </c>
      <c r="I86" s="4">
        <v>207.971</v>
      </c>
      <c r="J86" s="4">
        <v>23.327999999999999</v>
      </c>
      <c r="K86" s="6">
        <v>3</v>
      </c>
      <c r="L86" s="4">
        <v>95.504999999999995</v>
      </c>
      <c r="M86" s="4">
        <v>9.4149999999999991</v>
      </c>
      <c r="N86" s="2">
        <v>3</v>
      </c>
      <c r="O86" s="2" t="s">
        <v>95</v>
      </c>
      <c r="P86" s="2" t="s">
        <v>616</v>
      </c>
      <c r="Z86" s="2" t="s">
        <v>98</v>
      </c>
      <c r="AC86" s="2" t="s">
        <v>152</v>
      </c>
      <c r="AF86" s="2" t="s">
        <v>123</v>
      </c>
      <c r="AG86" s="2" t="s">
        <v>87</v>
      </c>
      <c r="AH86" s="2" t="s">
        <v>561</v>
      </c>
    </row>
    <row r="87" spans="1:34" x14ac:dyDescent="0.2">
      <c r="A87" s="2">
        <v>86</v>
      </c>
      <c r="B87" s="2" t="s">
        <v>476</v>
      </c>
      <c r="C87" s="2" t="s">
        <v>428</v>
      </c>
      <c r="D87" s="2" t="s">
        <v>105</v>
      </c>
      <c r="E87" s="2" t="s">
        <v>106</v>
      </c>
      <c r="F87" s="2" t="s">
        <v>78</v>
      </c>
      <c r="G87" s="2">
        <v>1.4</v>
      </c>
      <c r="H87" s="2">
        <v>36.299999999999997</v>
      </c>
      <c r="I87" s="4">
        <v>432.78899999999999</v>
      </c>
      <c r="J87" s="4">
        <v>155.28600000000006</v>
      </c>
      <c r="K87" s="6">
        <v>10</v>
      </c>
      <c r="L87" s="4">
        <v>236.035</v>
      </c>
      <c r="M87" s="4">
        <v>97.310000000000031</v>
      </c>
      <c r="N87" s="2">
        <v>10</v>
      </c>
      <c r="O87" s="2" t="s">
        <v>95</v>
      </c>
      <c r="P87" s="2" t="s">
        <v>34</v>
      </c>
      <c r="R87" s="2" t="s">
        <v>73</v>
      </c>
      <c r="S87" s="2" t="s">
        <v>73</v>
      </c>
      <c r="T87" s="2">
        <v>17</v>
      </c>
      <c r="W87" s="2" t="s">
        <v>73</v>
      </c>
      <c r="X87" s="2">
        <v>16</v>
      </c>
      <c r="Y87" s="2">
        <v>31</v>
      </c>
      <c r="Z87" s="2" t="s">
        <v>98</v>
      </c>
      <c r="AC87" s="2" t="s">
        <v>116</v>
      </c>
      <c r="AF87" s="2" t="s">
        <v>138</v>
      </c>
      <c r="AG87" s="2" t="s">
        <v>87</v>
      </c>
      <c r="AH87" s="2" t="s">
        <v>562</v>
      </c>
    </row>
    <row r="88" spans="1:34" x14ac:dyDescent="0.2">
      <c r="A88" s="2">
        <v>87</v>
      </c>
      <c r="B88" s="2" t="s">
        <v>482</v>
      </c>
      <c r="C88" s="2" t="s">
        <v>236</v>
      </c>
      <c r="D88" s="2" t="s">
        <v>121</v>
      </c>
      <c r="E88" s="2" t="s">
        <v>122</v>
      </c>
      <c r="F88" s="2" t="s">
        <v>78</v>
      </c>
      <c r="G88" s="2">
        <v>1</v>
      </c>
      <c r="H88" s="2">
        <v>12.5</v>
      </c>
      <c r="I88" s="4">
        <v>325.99413576567559</v>
      </c>
      <c r="J88" s="4">
        <v>79.029687959523741</v>
      </c>
      <c r="K88" s="2">
        <v>3</v>
      </c>
      <c r="L88" s="4">
        <v>147.8047334871701</v>
      </c>
      <c r="M88" s="4">
        <v>14.063177938623239</v>
      </c>
      <c r="N88" s="2">
        <v>3</v>
      </c>
      <c r="O88" s="2" t="s">
        <v>75</v>
      </c>
      <c r="P88" s="2" t="s">
        <v>616</v>
      </c>
      <c r="R88" s="2" t="s">
        <v>73</v>
      </c>
      <c r="S88" s="2" t="s">
        <v>73</v>
      </c>
      <c r="T88" s="2">
        <v>13</v>
      </c>
      <c r="V88" s="2">
        <v>170</v>
      </c>
      <c r="W88" s="2" t="s">
        <v>73</v>
      </c>
      <c r="X88" s="2">
        <v>14</v>
      </c>
      <c r="Y88" s="2">
        <v>30</v>
      </c>
      <c r="Z88" s="2" t="s">
        <v>98</v>
      </c>
      <c r="AC88" s="2" t="s">
        <v>116</v>
      </c>
      <c r="AF88" s="2" t="s">
        <v>483</v>
      </c>
      <c r="AG88" s="2" t="s">
        <v>73</v>
      </c>
      <c r="AH88" s="2" t="s">
        <v>563</v>
      </c>
    </row>
    <row r="89" spans="1:34" x14ac:dyDescent="0.2">
      <c r="A89" s="2">
        <v>88</v>
      </c>
      <c r="B89" s="2" t="s">
        <v>482</v>
      </c>
      <c r="C89" s="2" t="s">
        <v>236</v>
      </c>
      <c r="D89" s="2" t="s">
        <v>121</v>
      </c>
      <c r="E89" s="2" t="s">
        <v>122</v>
      </c>
      <c r="F89" s="2" t="s">
        <v>80</v>
      </c>
      <c r="G89" s="2">
        <v>1</v>
      </c>
      <c r="H89" s="2">
        <v>12.5</v>
      </c>
      <c r="I89" s="4">
        <v>11.322512082225481</v>
      </c>
      <c r="J89" s="4">
        <v>1.2849929404901663</v>
      </c>
      <c r="K89" s="2">
        <v>3</v>
      </c>
      <c r="L89" s="4">
        <v>12.404115226337462</v>
      </c>
      <c r="M89" s="4">
        <v>0.49127051664055915</v>
      </c>
      <c r="N89" s="2">
        <v>3</v>
      </c>
      <c r="O89" s="2" t="s">
        <v>75</v>
      </c>
      <c r="P89" s="2" t="s">
        <v>616</v>
      </c>
      <c r="R89" s="2" t="s">
        <v>73</v>
      </c>
      <c r="S89" s="2" t="s">
        <v>73</v>
      </c>
      <c r="T89" s="2">
        <v>13</v>
      </c>
      <c r="V89" s="2">
        <v>170</v>
      </c>
      <c r="W89" s="2" t="s">
        <v>73</v>
      </c>
      <c r="X89" s="2">
        <v>14</v>
      </c>
      <c r="Y89" s="2">
        <v>30</v>
      </c>
      <c r="Z89" s="2" t="s">
        <v>98</v>
      </c>
      <c r="AC89" s="2" t="s">
        <v>116</v>
      </c>
      <c r="AF89" s="2" t="s">
        <v>483</v>
      </c>
      <c r="AG89" s="2" t="s">
        <v>73</v>
      </c>
      <c r="AH89" s="2" t="s">
        <v>563</v>
      </c>
    </row>
    <row r="90" spans="1:34" x14ac:dyDescent="0.2">
      <c r="A90" s="2">
        <v>89</v>
      </c>
      <c r="B90" s="2" t="s">
        <v>482</v>
      </c>
      <c r="C90" s="2" t="s">
        <v>236</v>
      </c>
      <c r="D90" s="2" t="s">
        <v>121</v>
      </c>
      <c r="E90" s="2" t="s">
        <v>122</v>
      </c>
      <c r="F90" s="2" t="s">
        <v>78</v>
      </c>
      <c r="G90" s="2">
        <v>1</v>
      </c>
      <c r="H90" s="2">
        <v>12.5</v>
      </c>
      <c r="I90" s="4">
        <v>330.12089892780972</v>
      </c>
      <c r="J90" s="4">
        <v>1.4234921260802502</v>
      </c>
      <c r="K90" s="2">
        <v>3</v>
      </c>
      <c r="L90" s="4">
        <v>130.53436206942357</v>
      </c>
      <c r="M90" s="4">
        <v>15.066753131081636</v>
      </c>
      <c r="N90" s="2">
        <v>3</v>
      </c>
      <c r="O90" s="2" t="s">
        <v>75</v>
      </c>
      <c r="P90" s="2" t="s">
        <v>616</v>
      </c>
      <c r="R90" s="2" t="s">
        <v>73</v>
      </c>
      <c r="S90" s="2" t="s">
        <v>73</v>
      </c>
      <c r="T90" s="2">
        <v>19</v>
      </c>
      <c r="V90" s="2">
        <v>170</v>
      </c>
      <c r="W90" s="2" t="s">
        <v>73</v>
      </c>
      <c r="X90" s="2">
        <v>14</v>
      </c>
      <c r="Y90" s="2">
        <v>30</v>
      </c>
      <c r="Z90" s="2" t="s">
        <v>98</v>
      </c>
      <c r="AC90" s="2" t="s">
        <v>116</v>
      </c>
      <c r="AF90" s="2" t="s">
        <v>483</v>
      </c>
      <c r="AG90" s="2" t="s">
        <v>73</v>
      </c>
      <c r="AH90" s="2" t="s">
        <v>564</v>
      </c>
    </row>
    <row r="91" spans="1:34" x14ac:dyDescent="0.2">
      <c r="A91" s="2">
        <v>90</v>
      </c>
      <c r="B91" s="2" t="s">
        <v>482</v>
      </c>
      <c r="C91" s="2" t="s">
        <v>236</v>
      </c>
      <c r="D91" s="2" t="s">
        <v>121</v>
      </c>
      <c r="E91" s="2" t="s">
        <v>122</v>
      </c>
      <c r="F91" s="2" t="s">
        <v>80</v>
      </c>
      <c r="G91" s="2">
        <v>1</v>
      </c>
      <c r="H91" s="2">
        <v>12.5</v>
      </c>
      <c r="I91" s="4">
        <v>9.4581630185532592</v>
      </c>
      <c r="J91" s="4">
        <v>0.41974784275701338</v>
      </c>
      <c r="K91" s="2">
        <v>3</v>
      </c>
      <c r="L91" s="4">
        <v>14.108392434988184</v>
      </c>
      <c r="M91" s="4">
        <v>4.5777520832581891</v>
      </c>
      <c r="N91" s="2">
        <v>3</v>
      </c>
      <c r="O91" s="2" t="s">
        <v>75</v>
      </c>
      <c r="P91" s="2" t="s">
        <v>616</v>
      </c>
      <c r="R91" s="2" t="s">
        <v>73</v>
      </c>
      <c r="S91" s="2" t="s">
        <v>73</v>
      </c>
      <c r="T91" s="2">
        <v>19</v>
      </c>
      <c r="V91" s="2">
        <v>170</v>
      </c>
      <c r="W91" s="2" t="s">
        <v>73</v>
      </c>
      <c r="X91" s="2">
        <v>14</v>
      </c>
      <c r="Y91" s="2">
        <v>30</v>
      </c>
      <c r="Z91" s="2" t="s">
        <v>98</v>
      </c>
      <c r="AC91" s="2" t="s">
        <v>116</v>
      </c>
      <c r="AF91" s="2" t="s">
        <v>483</v>
      </c>
      <c r="AG91" s="2" t="s">
        <v>73</v>
      </c>
      <c r="AH91" s="2" t="s">
        <v>564</v>
      </c>
    </row>
    <row r="92" spans="1:34" x14ac:dyDescent="0.2">
      <c r="A92" s="2">
        <v>91</v>
      </c>
      <c r="B92" s="2" t="s">
        <v>482</v>
      </c>
      <c r="C92" s="2" t="s">
        <v>485</v>
      </c>
      <c r="D92" s="2" t="s">
        <v>121</v>
      </c>
      <c r="E92" s="2" t="s">
        <v>106</v>
      </c>
      <c r="F92" s="2" t="s">
        <v>78</v>
      </c>
      <c r="G92" s="2">
        <v>1</v>
      </c>
      <c r="H92" s="2">
        <v>12.5</v>
      </c>
      <c r="I92" s="4">
        <v>240.55315187204585</v>
      </c>
      <c r="J92" s="4">
        <v>18.51606501242853</v>
      </c>
      <c r="K92" s="2">
        <v>3</v>
      </c>
      <c r="L92" s="4">
        <v>173.89953141562191</v>
      </c>
      <c r="M92" s="4">
        <v>27.349967038370298</v>
      </c>
      <c r="N92" s="2">
        <v>3</v>
      </c>
      <c r="O92" s="2" t="s">
        <v>75</v>
      </c>
      <c r="P92" s="2" t="s">
        <v>616</v>
      </c>
      <c r="R92" s="2" t="s">
        <v>73</v>
      </c>
      <c r="S92" s="2" t="s">
        <v>73</v>
      </c>
      <c r="T92" s="2">
        <v>13</v>
      </c>
      <c r="V92" s="2">
        <v>170</v>
      </c>
      <c r="W92" s="2" t="s">
        <v>73</v>
      </c>
      <c r="X92" s="2">
        <v>14</v>
      </c>
      <c r="Y92" s="2">
        <v>30</v>
      </c>
      <c r="Z92" s="2" t="s">
        <v>98</v>
      </c>
      <c r="AC92" s="2" t="s">
        <v>116</v>
      </c>
      <c r="AF92" s="2" t="s">
        <v>483</v>
      </c>
      <c r="AG92" s="2" t="s">
        <v>73</v>
      </c>
      <c r="AH92" s="2" t="s">
        <v>563</v>
      </c>
    </row>
    <row r="93" spans="1:34" x14ac:dyDescent="0.2">
      <c r="A93" s="2">
        <v>92</v>
      </c>
      <c r="B93" s="2" t="s">
        <v>482</v>
      </c>
      <c r="C93" s="2" t="s">
        <v>485</v>
      </c>
      <c r="D93" s="2" t="s">
        <v>121</v>
      </c>
      <c r="E93" s="2" t="s">
        <v>106</v>
      </c>
      <c r="F93" s="2" t="s">
        <v>80</v>
      </c>
      <c r="G93" s="2">
        <v>1</v>
      </c>
      <c r="H93" s="2">
        <v>12.5</v>
      </c>
      <c r="I93" s="4">
        <v>11.337889125169831</v>
      </c>
      <c r="J93" s="4">
        <v>0.71709953159974349</v>
      </c>
      <c r="K93" s="2">
        <v>3</v>
      </c>
      <c r="L93" s="4">
        <v>11.262656792948562</v>
      </c>
      <c r="M93" s="4">
        <v>1.1332286331135444</v>
      </c>
      <c r="N93" s="2">
        <v>3</v>
      </c>
      <c r="O93" s="2" t="s">
        <v>75</v>
      </c>
      <c r="P93" s="2" t="s">
        <v>616</v>
      </c>
      <c r="R93" s="2" t="s">
        <v>73</v>
      </c>
      <c r="S93" s="2" t="s">
        <v>73</v>
      </c>
      <c r="T93" s="2">
        <v>13</v>
      </c>
      <c r="V93" s="2">
        <v>170</v>
      </c>
      <c r="W93" s="2" t="s">
        <v>73</v>
      </c>
      <c r="X93" s="2">
        <v>14</v>
      </c>
      <c r="Y93" s="2">
        <v>30</v>
      </c>
      <c r="Z93" s="2" t="s">
        <v>98</v>
      </c>
      <c r="AC93" s="2" t="s">
        <v>116</v>
      </c>
      <c r="AF93" s="2" t="s">
        <v>483</v>
      </c>
      <c r="AG93" s="2" t="s">
        <v>73</v>
      </c>
      <c r="AH93" s="2" t="s">
        <v>563</v>
      </c>
    </row>
    <row r="94" spans="1:34" x14ac:dyDescent="0.2">
      <c r="A94" s="2">
        <v>93</v>
      </c>
      <c r="B94" s="2" t="s">
        <v>482</v>
      </c>
      <c r="C94" s="2" t="s">
        <v>485</v>
      </c>
      <c r="D94" s="2" t="s">
        <v>121</v>
      </c>
      <c r="E94" s="2" t="s">
        <v>106</v>
      </c>
      <c r="F94" s="2" t="s">
        <v>78</v>
      </c>
      <c r="G94" s="2">
        <v>1</v>
      </c>
      <c r="H94" s="2">
        <v>12.5</v>
      </c>
      <c r="I94" s="4">
        <v>229.9481614803336</v>
      </c>
      <c r="J94" s="4">
        <v>25.057415904975823</v>
      </c>
      <c r="K94" s="2">
        <v>3</v>
      </c>
      <c r="L94" s="4">
        <v>157.01535981649297</v>
      </c>
      <c r="M94" s="4">
        <v>6.7252201413918078</v>
      </c>
      <c r="N94" s="2">
        <v>3</v>
      </c>
      <c r="O94" s="2" t="s">
        <v>75</v>
      </c>
      <c r="P94" s="2" t="s">
        <v>616</v>
      </c>
      <c r="R94" s="2" t="s">
        <v>73</v>
      </c>
      <c r="S94" s="2" t="s">
        <v>73</v>
      </c>
      <c r="T94" s="2">
        <v>19</v>
      </c>
      <c r="V94" s="2">
        <v>170</v>
      </c>
      <c r="W94" s="2" t="s">
        <v>73</v>
      </c>
      <c r="X94" s="2">
        <v>14</v>
      </c>
      <c r="Y94" s="2">
        <v>30</v>
      </c>
      <c r="Z94" s="2" t="s">
        <v>98</v>
      </c>
      <c r="AC94" s="2" t="s">
        <v>116</v>
      </c>
      <c r="AF94" s="2" t="s">
        <v>483</v>
      </c>
      <c r="AG94" s="2" t="s">
        <v>73</v>
      </c>
      <c r="AH94" s="2" t="s">
        <v>564</v>
      </c>
    </row>
    <row r="95" spans="1:34" x14ac:dyDescent="0.2">
      <c r="A95" s="2">
        <v>94</v>
      </c>
      <c r="B95" s="2" t="s">
        <v>482</v>
      </c>
      <c r="C95" s="2" t="s">
        <v>485</v>
      </c>
      <c r="D95" s="2" t="s">
        <v>121</v>
      </c>
      <c r="E95" s="2" t="s">
        <v>106</v>
      </c>
      <c r="F95" s="2" t="s">
        <v>80</v>
      </c>
      <c r="G95" s="2">
        <v>1</v>
      </c>
      <c r="H95" s="2">
        <v>12.5</v>
      </c>
      <c r="I95" s="4">
        <v>13.046889838556512</v>
      </c>
      <c r="J95" s="4">
        <v>0.56968754369270491</v>
      </c>
      <c r="K95" s="2">
        <v>3</v>
      </c>
      <c r="L95" s="4">
        <v>12.826101839965759</v>
      </c>
      <c r="M95" s="4">
        <v>2.6854537825621088</v>
      </c>
      <c r="N95" s="2">
        <v>3</v>
      </c>
      <c r="O95" s="2" t="s">
        <v>75</v>
      </c>
      <c r="P95" s="2" t="s">
        <v>616</v>
      </c>
      <c r="R95" s="2" t="s">
        <v>73</v>
      </c>
      <c r="S95" s="2" t="s">
        <v>73</v>
      </c>
      <c r="T95" s="2">
        <v>19</v>
      </c>
      <c r="V95" s="2">
        <v>170</v>
      </c>
      <c r="W95" s="2" t="s">
        <v>73</v>
      </c>
      <c r="X95" s="2">
        <v>14</v>
      </c>
      <c r="Y95" s="2">
        <v>30</v>
      </c>
      <c r="Z95" s="2" t="s">
        <v>98</v>
      </c>
      <c r="AC95" s="2" t="s">
        <v>116</v>
      </c>
      <c r="AF95" s="2" t="s">
        <v>483</v>
      </c>
      <c r="AG95" s="2" t="s">
        <v>73</v>
      </c>
      <c r="AH95" s="2" t="s">
        <v>564</v>
      </c>
    </row>
    <row r="96" spans="1:34" x14ac:dyDescent="0.2">
      <c r="A96" s="2">
        <v>95</v>
      </c>
      <c r="B96" s="2" t="s">
        <v>482</v>
      </c>
      <c r="C96" s="2" t="s">
        <v>487</v>
      </c>
      <c r="D96" s="2" t="s">
        <v>121</v>
      </c>
      <c r="E96" s="2" t="s">
        <v>106</v>
      </c>
      <c r="F96" s="2" t="s">
        <v>78</v>
      </c>
      <c r="G96" s="2">
        <v>1</v>
      </c>
      <c r="H96" s="2">
        <v>12.5</v>
      </c>
      <c r="I96" s="4">
        <v>327.25435759826922</v>
      </c>
      <c r="J96" s="4">
        <v>4.7176953272619393</v>
      </c>
      <c r="K96" s="2">
        <v>3</v>
      </c>
      <c r="L96" s="4">
        <v>216.29654113053536</v>
      </c>
      <c r="M96" s="4">
        <v>17.946956528211761</v>
      </c>
      <c r="N96" s="2">
        <v>3</v>
      </c>
      <c r="O96" s="2" t="s">
        <v>75</v>
      </c>
      <c r="P96" s="2" t="s">
        <v>616</v>
      </c>
      <c r="R96" s="2" t="s">
        <v>73</v>
      </c>
      <c r="S96" s="2" t="s">
        <v>73</v>
      </c>
      <c r="T96" s="2">
        <v>13</v>
      </c>
      <c r="V96" s="2">
        <v>170</v>
      </c>
      <c r="W96" s="2" t="s">
        <v>73</v>
      </c>
      <c r="X96" s="2">
        <v>14</v>
      </c>
      <c r="Y96" s="2">
        <v>30</v>
      </c>
      <c r="Z96" s="2" t="s">
        <v>98</v>
      </c>
      <c r="AC96" s="2" t="s">
        <v>116</v>
      </c>
      <c r="AF96" s="2" t="s">
        <v>483</v>
      </c>
      <c r="AG96" s="2" t="s">
        <v>73</v>
      </c>
      <c r="AH96" s="2" t="s">
        <v>563</v>
      </c>
    </row>
    <row r="97" spans="1:34" x14ac:dyDescent="0.2">
      <c r="A97" s="2">
        <v>96</v>
      </c>
      <c r="B97" s="2" t="s">
        <v>482</v>
      </c>
      <c r="C97" s="2" t="s">
        <v>487</v>
      </c>
      <c r="D97" s="2" t="s">
        <v>121</v>
      </c>
      <c r="E97" s="2" t="s">
        <v>106</v>
      </c>
      <c r="F97" s="2" t="s">
        <v>80</v>
      </c>
      <c r="G97" s="2">
        <v>1</v>
      </c>
      <c r="H97" s="2">
        <v>12.5</v>
      </c>
      <c r="I97" s="4">
        <v>10.88406225374308</v>
      </c>
      <c r="J97" s="4">
        <v>0.39264658596819779</v>
      </c>
      <c r="K97" s="2">
        <v>3</v>
      </c>
      <c r="L97" s="4">
        <v>12.550358050358057</v>
      </c>
      <c r="M97" s="4">
        <v>0.99361953451991369</v>
      </c>
      <c r="N97" s="2">
        <v>3</v>
      </c>
      <c r="O97" s="2" t="s">
        <v>75</v>
      </c>
      <c r="P97" s="2" t="s">
        <v>616</v>
      </c>
      <c r="R97" s="2" t="s">
        <v>73</v>
      </c>
      <c r="S97" s="2" t="s">
        <v>73</v>
      </c>
      <c r="T97" s="2">
        <v>13</v>
      </c>
      <c r="V97" s="2">
        <v>170</v>
      </c>
      <c r="W97" s="2" t="s">
        <v>73</v>
      </c>
      <c r="X97" s="2">
        <v>14</v>
      </c>
      <c r="Y97" s="2">
        <v>30</v>
      </c>
      <c r="Z97" s="2" t="s">
        <v>98</v>
      </c>
      <c r="AC97" s="2" t="s">
        <v>116</v>
      </c>
      <c r="AF97" s="2" t="s">
        <v>483</v>
      </c>
      <c r="AG97" s="2" t="s">
        <v>73</v>
      </c>
      <c r="AH97" s="2" t="s">
        <v>563</v>
      </c>
    </row>
    <row r="98" spans="1:34" x14ac:dyDescent="0.2">
      <c r="A98" s="2">
        <v>97</v>
      </c>
      <c r="B98" s="2" t="s">
        <v>482</v>
      </c>
      <c r="C98" s="2" t="s">
        <v>487</v>
      </c>
      <c r="D98" s="2" t="s">
        <v>121</v>
      </c>
      <c r="E98" s="2" t="s">
        <v>106</v>
      </c>
      <c r="F98" s="2" t="s">
        <v>78</v>
      </c>
      <c r="G98" s="2">
        <v>1</v>
      </c>
      <c r="H98" s="2">
        <v>12.5</v>
      </c>
      <c r="I98" s="4">
        <v>311.39306668957141</v>
      </c>
      <c r="J98" s="4">
        <v>39.85460704788786</v>
      </c>
      <c r="K98" s="2">
        <v>3</v>
      </c>
      <c r="L98" s="4">
        <v>145.95708166779093</v>
      </c>
      <c r="M98" s="4">
        <v>7.9617702971786901</v>
      </c>
      <c r="N98" s="2">
        <v>3</v>
      </c>
      <c r="O98" s="2" t="s">
        <v>75</v>
      </c>
      <c r="P98" s="2" t="s">
        <v>616</v>
      </c>
      <c r="R98" s="2" t="s">
        <v>73</v>
      </c>
      <c r="S98" s="2" t="s">
        <v>73</v>
      </c>
      <c r="T98" s="2">
        <v>19</v>
      </c>
      <c r="V98" s="2">
        <v>170</v>
      </c>
      <c r="W98" s="2" t="s">
        <v>73</v>
      </c>
      <c r="X98" s="2">
        <v>14</v>
      </c>
      <c r="Y98" s="2">
        <v>30</v>
      </c>
      <c r="Z98" s="2" t="s">
        <v>98</v>
      </c>
      <c r="AC98" s="2" t="s">
        <v>116</v>
      </c>
      <c r="AF98" s="2" t="s">
        <v>483</v>
      </c>
      <c r="AG98" s="2" t="s">
        <v>73</v>
      </c>
      <c r="AH98" s="2" t="s">
        <v>564</v>
      </c>
    </row>
    <row r="99" spans="1:34" x14ac:dyDescent="0.2">
      <c r="A99" s="2">
        <v>98</v>
      </c>
      <c r="B99" s="2" t="s">
        <v>482</v>
      </c>
      <c r="C99" s="2" t="s">
        <v>487</v>
      </c>
      <c r="D99" s="2" t="s">
        <v>121</v>
      </c>
      <c r="E99" s="2" t="s">
        <v>106</v>
      </c>
      <c r="F99" s="2" t="s">
        <v>80</v>
      </c>
      <c r="G99" s="2">
        <v>1</v>
      </c>
      <c r="H99" s="2">
        <v>12.5</v>
      </c>
      <c r="I99" s="4">
        <v>11.870365020130279</v>
      </c>
      <c r="J99" s="4">
        <v>1.1566537814062507</v>
      </c>
      <c r="K99" s="2">
        <v>3</v>
      </c>
      <c r="L99" s="4">
        <v>12.050154320987668</v>
      </c>
      <c r="M99" s="4">
        <v>2.1991914361145373</v>
      </c>
      <c r="N99" s="2">
        <v>3</v>
      </c>
      <c r="O99" s="2" t="s">
        <v>75</v>
      </c>
      <c r="P99" s="2" t="s">
        <v>616</v>
      </c>
      <c r="R99" s="2" t="s">
        <v>73</v>
      </c>
      <c r="S99" s="2" t="s">
        <v>73</v>
      </c>
      <c r="T99" s="2">
        <v>19</v>
      </c>
      <c r="V99" s="2">
        <v>170</v>
      </c>
      <c r="W99" s="2" t="s">
        <v>73</v>
      </c>
      <c r="X99" s="2">
        <v>14</v>
      </c>
      <c r="Y99" s="2">
        <v>30</v>
      </c>
      <c r="Z99" s="2" t="s">
        <v>98</v>
      </c>
      <c r="AC99" s="2" t="s">
        <v>116</v>
      </c>
      <c r="AF99" s="2" t="s">
        <v>483</v>
      </c>
      <c r="AG99" s="2" t="s">
        <v>73</v>
      </c>
      <c r="AH99" s="2" t="s">
        <v>564</v>
      </c>
    </row>
    <row r="100" spans="1:34" x14ac:dyDescent="0.2">
      <c r="A100" s="2">
        <v>99</v>
      </c>
      <c r="B100" s="2" t="s">
        <v>492</v>
      </c>
      <c r="C100" s="2" t="s">
        <v>493</v>
      </c>
      <c r="D100" s="2" t="s">
        <v>92</v>
      </c>
      <c r="E100" s="2" t="s">
        <v>150</v>
      </c>
      <c r="F100" s="2" t="s">
        <v>78</v>
      </c>
      <c r="G100" s="2">
        <v>2.4</v>
      </c>
      <c r="H100" s="2">
        <v>47.7</v>
      </c>
      <c r="I100" s="4">
        <v>218.08799999999999</v>
      </c>
      <c r="J100" s="4">
        <v>65.137000000000029</v>
      </c>
      <c r="K100" s="6">
        <v>5</v>
      </c>
      <c r="L100" s="4">
        <v>166.88</v>
      </c>
      <c r="M100" s="4">
        <v>72.068000000000012</v>
      </c>
      <c r="N100" s="2">
        <v>5</v>
      </c>
      <c r="O100" s="2" t="s">
        <v>95</v>
      </c>
      <c r="R100" s="2" t="s">
        <v>73</v>
      </c>
      <c r="S100" s="2" t="s">
        <v>73</v>
      </c>
      <c r="T100" s="2">
        <v>17</v>
      </c>
      <c r="V100" s="2">
        <v>450</v>
      </c>
      <c r="Y100" s="2">
        <v>7</v>
      </c>
      <c r="Z100" s="2" t="s">
        <v>98</v>
      </c>
      <c r="AC100" s="2" t="s">
        <v>116</v>
      </c>
      <c r="AF100" s="2" t="s">
        <v>189</v>
      </c>
      <c r="AG100" s="2" t="s">
        <v>87</v>
      </c>
      <c r="AH100" s="2" t="s">
        <v>565</v>
      </c>
    </row>
    <row r="101" spans="1:34" x14ac:dyDescent="0.2">
      <c r="A101" s="2">
        <v>100</v>
      </c>
      <c r="B101" s="2" t="s">
        <v>492</v>
      </c>
      <c r="C101" s="2" t="s">
        <v>493</v>
      </c>
      <c r="D101" s="2" t="s">
        <v>92</v>
      </c>
      <c r="E101" s="2" t="s">
        <v>150</v>
      </c>
      <c r="F101" s="2" t="s">
        <v>80</v>
      </c>
      <c r="G101" s="2">
        <v>2.4</v>
      </c>
      <c r="H101" s="2">
        <v>47.7</v>
      </c>
      <c r="I101" s="4">
        <v>4.71</v>
      </c>
      <c r="J101" s="4">
        <v>0.12000000000000011</v>
      </c>
      <c r="K101" s="6">
        <v>5</v>
      </c>
      <c r="L101" s="4">
        <v>5.5979999999999999</v>
      </c>
      <c r="M101" s="4">
        <v>0.13300000000000001</v>
      </c>
      <c r="N101" s="2">
        <v>5</v>
      </c>
      <c r="O101" s="2" t="s">
        <v>95</v>
      </c>
      <c r="R101" s="2" t="s">
        <v>73</v>
      </c>
      <c r="S101" s="2" t="s">
        <v>73</v>
      </c>
      <c r="T101" s="2">
        <v>17</v>
      </c>
      <c r="V101" s="2">
        <v>450</v>
      </c>
      <c r="Y101" s="2">
        <v>7</v>
      </c>
      <c r="Z101" s="2" t="s">
        <v>98</v>
      </c>
      <c r="AC101" s="2" t="s">
        <v>116</v>
      </c>
      <c r="AF101" s="2" t="s">
        <v>189</v>
      </c>
      <c r="AG101" s="2" t="s">
        <v>87</v>
      </c>
      <c r="AH101" s="2" t="s">
        <v>566</v>
      </c>
    </row>
    <row r="102" spans="1:34" x14ac:dyDescent="0.2">
      <c r="A102" s="2">
        <v>101</v>
      </c>
      <c r="B102" s="2" t="s">
        <v>512</v>
      </c>
      <c r="C102" s="2" t="s">
        <v>513</v>
      </c>
      <c r="D102" s="2" t="s">
        <v>84</v>
      </c>
      <c r="E102" s="2" t="s">
        <v>85</v>
      </c>
      <c r="F102" s="2" t="s">
        <v>78</v>
      </c>
      <c r="G102" s="2">
        <v>0.5</v>
      </c>
      <c r="H102" s="2">
        <v>20</v>
      </c>
      <c r="I102" s="4">
        <v>419.27199999999999</v>
      </c>
      <c r="J102" s="4">
        <v>83.312000000000012</v>
      </c>
      <c r="K102" s="6">
        <v>3</v>
      </c>
      <c r="L102" s="4">
        <v>85.921999999999997</v>
      </c>
      <c r="M102" s="4">
        <v>0.1</v>
      </c>
      <c r="N102" s="2">
        <v>3</v>
      </c>
      <c r="O102" s="2" t="s">
        <v>75</v>
      </c>
      <c r="P102" s="2" t="s">
        <v>616</v>
      </c>
      <c r="R102" s="2" t="s">
        <v>73</v>
      </c>
      <c r="S102" s="2" t="s">
        <v>73</v>
      </c>
      <c r="T102" s="2">
        <v>17</v>
      </c>
      <c r="V102" s="2">
        <v>120</v>
      </c>
      <c r="W102" s="2" t="s">
        <v>73</v>
      </c>
      <c r="X102" s="2">
        <v>12</v>
      </c>
      <c r="Z102" s="2" t="s">
        <v>98</v>
      </c>
      <c r="AC102" s="2" t="s">
        <v>116</v>
      </c>
      <c r="AD102" s="2">
        <v>220</v>
      </c>
      <c r="AF102" s="2" t="s">
        <v>133</v>
      </c>
      <c r="AG102" s="2" t="s">
        <v>87</v>
      </c>
      <c r="AH102" s="2" t="s">
        <v>567</v>
      </c>
    </row>
    <row r="103" spans="1:34" x14ac:dyDescent="0.2">
      <c r="A103" s="2">
        <v>102</v>
      </c>
      <c r="B103" s="2" t="s">
        <v>512</v>
      </c>
      <c r="C103" s="2" t="s">
        <v>513</v>
      </c>
      <c r="D103" s="2" t="s">
        <v>84</v>
      </c>
      <c r="E103" s="2" t="s">
        <v>85</v>
      </c>
      <c r="F103" s="2" t="s">
        <v>80</v>
      </c>
      <c r="G103" s="2">
        <v>0.5</v>
      </c>
      <c r="H103" s="2">
        <v>20</v>
      </c>
      <c r="I103" s="4">
        <v>9.5009999999999994</v>
      </c>
      <c r="J103" s="4">
        <v>1.2540000000000013</v>
      </c>
      <c r="K103" s="6">
        <v>3</v>
      </c>
      <c r="L103" s="4">
        <v>8.4260000000000002</v>
      </c>
      <c r="M103" s="4">
        <v>0.11599999999999966</v>
      </c>
      <c r="N103" s="2">
        <v>3</v>
      </c>
      <c r="O103" s="2" t="s">
        <v>75</v>
      </c>
      <c r="P103" s="2" t="s">
        <v>616</v>
      </c>
      <c r="R103" s="2" t="s">
        <v>73</v>
      </c>
      <c r="S103" s="2" t="s">
        <v>73</v>
      </c>
      <c r="T103" s="2">
        <v>17</v>
      </c>
      <c r="V103" s="2">
        <v>120</v>
      </c>
      <c r="W103" s="2" t="s">
        <v>73</v>
      </c>
      <c r="X103" s="2">
        <v>12</v>
      </c>
      <c r="Z103" s="2" t="s">
        <v>98</v>
      </c>
      <c r="AC103" s="2" t="s">
        <v>116</v>
      </c>
      <c r="AD103" s="2">
        <v>220</v>
      </c>
      <c r="AF103" s="2" t="s">
        <v>133</v>
      </c>
      <c r="AG103" s="2" t="s">
        <v>87</v>
      </c>
      <c r="AH103" s="2" t="s">
        <v>567</v>
      </c>
    </row>
    <row r="104" spans="1:34" x14ac:dyDescent="0.2">
      <c r="A104" s="2">
        <v>103</v>
      </c>
      <c r="B104" s="2" t="s">
        <v>512</v>
      </c>
      <c r="C104" s="2" t="s">
        <v>513</v>
      </c>
      <c r="D104" s="2" t="s">
        <v>84</v>
      </c>
      <c r="E104" s="2" t="s">
        <v>85</v>
      </c>
      <c r="F104" s="2" t="s">
        <v>78</v>
      </c>
      <c r="G104" s="2">
        <v>0.5</v>
      </c>
      <c r="H104" s="2">
        <v>20</v>
      </c>
      <c r="I104" s="4">
        <v>375.33100000000002</v>
      </c>
      <c r="J104" s="4">
        <v>57.49799999999999</v>
      </c>
      <c r="K104" s="6">
        <v>3</v>
      </c>
      <c r="L104" s="4">
        <v>86.843999999999994</v>
      </c>
      <c r="M104" s="4">
        <v>8.4660000000000082</v>
      </c>
      <c r="N104" s="2">
        <v>3</v>
      </c>
      <c r="O104" s="2" t="s">
        <v>75</v>
      </c>
      <c r="P104" s="2" t="s">
        <v>616</v>
      </c>
      <c r="R104" s="2" t="s">
        <v>73</v>
      </c>
      <c r="S104" s="2" t="s">
        <v>73</v>
      </c>
      <c r="T104" s="2">
        <v>17</v>
      </c>
      <c r="V104" s="2">
        <v>120</v>
      </c>
      <c r="W104" s="2" t="s">
        <v>73</v>
      </c>
      <c r="X104" s="2">
        <v>12</v>
      </c>
      <c r="Z104" s="2" t="s">
        <v>98</v>
      </c>
      <c r="AC104" s="2" t="s">
        <v>116</v>
      </c>
      <c r="AD104" s="2">
        <v>400</v>
      </c>
      <c r="AF104" s="2" t="s">
        <v>133</v>
      </c>
      <c r="AG104" s="2" t="s">
        <v>87</v>
      </c>
      <c r="AH104" s="2" t="s">
        <v>568</v>
      </c>
    </row>
    <row r="105" spans="1:34" x14ac:dyDescent="0.2">
      <c r="A105" s="2">
        <v>104</v>
      </c>
      <c r="B105" s="2" t="s">
        <v>512</v>
      </c>
      <c r="C105" s="2" t="s">
        <v>513</v>
      </c>
      <c r="D105" s="2" t="s">
        <v>84</v>
      </c>
      <c r="E105" s="2" t="s">
        <v>85</v>
      </c>
      <c r="F105" s="2" t="s">
        <v>80</v>
      </c>
      <c r="G105" s="2">
        <v>0.5</v>
      </c>
      <c r="H105" s="2">
        <v>20</v>
      </c>
      <c r="I105" s="4">
        <v>8.7129999999999992</v>
      </c>
      <c r="J105" s="4">
        <v>0.78000000000000114</v>
      </c>
      <c r="K105" s="6">
        <v>3</v>
      </c>
      <c r="L105" s="4">
        <v>9.1329999999999991</v>
      </c>
      <c r="M105" s="4">
        <v>0.62600000000000122</v>
      </c>
      <c r="N105" s="2">
        <v>3</v>
      </c>
      <c r="O105" s="2" t="s">
        <v>75</v>
      </c>
      <c r="P105" s="2" t="s">
        <v>616</v>
      </c>
      <c r="R105" s="2" t="s">
        <v>73</v>
      </c>
      <c r="S105" s="2" t="s">
        <v>73</v>
      </c>
      <c r="T105" s="2">
        <v>17</v>
      </c>
      <c r="V105" s="2">
        <v>120</v>
      </c>
      <c r="W105" s="2" t="s">
        <v>73</v>
      </c>
      <c r="X105" s="2">
        <v>12</v>
      </c>
      <c r="Z105" s="2" t="s">
        <v>98</v>
      </c>
      <c r="AC105" s="2" t="s">
        <v>116</v>
      </c>
      <c r="AD105" s="2">
        <v>400</v>
      </c>
      <c r="AF105" s="2" t="s">
        <v>133</v>
      </c>
      <c r="AG105" s="2" t="s">
        <v>87</v>
      </c>
      <c r="AH105" s="2" t="s">
        <v>568</v>
      </c>
    </row>
    <row r="106" spans="1:34" x14ac:dyDescent="0.2">
      <c r="A106" s="2">
        <v>105</v>
      </c>
      <c r="B106" s="2" t="s">
        <v>512</v>
      </c>
      <c r="C106" s="2" t="s">
        <v>513</v>
      </c>
      <c r="D106" s="2" t="s">
        <v>84</v>
      </c>
      <c r="E106" s="2" t="s">
        <v>85</v>
      </c>
      <c r="F106" s="2" t="s">
        <v>78</v>
      </c>
      <c r="G106" s="2">
        <v>0.5</v>
      </c>
      <c r="H106" s="2">
        <v>20</v>
      </c>
      <c r="I106" s="4">
        <v>428.18</v>
      </c>
      <c r="J106" s="4">
        <v>43.569000000000017</v>
      </c>
      <c r="K106" s="6">
        <v>3</v>
      </c>
      <c r="L106" s="4">
        <v>99.126999999999995</v>
      </c>
      <c r="M106" s="4">
        <v>7.3629999999999995</v>
      </c>
      <c r="N106" s="2">
        <v>3</v>
      </c>
      <c r="O106" s="2" t="s">
        <v>75</v>
      </c>
      <c r="P106" s="2" t="s">
        <v>616</v>
      </c>
      <c r="R106" s="2" t="s">
        <v>73</v>
      </c>
      <c r="S106" s="2" t="s">
        <v>73</v>
      </c>
      <c r="T106" s="2">
        <v>17</v>
      </c>
      <c r="V106" s="2">
        <v>120</v>
      </c>
      <c r="W106" s="2" t="s">
        <v>73</v>
      </c>
      <c r="X106" s="2">
        <v>12</v>
      </c>
      <c r="Z106" s="2" t="s">
        <v>98</v>
      </c>
      <c r="AC106" s="2" t="s">
        <v>116</v>
      </c>
      <c r="AD106" s="2">
        <v>730</v>
      </c>
      <c r="AF106" s="2" t="s">
        <v>133</v>
      </c>
      <c r="AG106" s="2" t="s">
        <v>87</v>
      </c>
      <c r="AH106" s="2" t="s">
        <v>569</v>
      </c>
    </row>
    <row r="107" spans="1:34" x14ac:dyDescent="0.2">
      <c r="A107" s="2">
        <v>106</v>
      </c>
      <c r="B107" s="2" t="s">
        <v>512</v>
      </c>
      <c r="C107" s="2" t="s">
        <v>513</v>
      </c>
      <c r="D107" s="2" t="s">
        <v>84</v>
      </c>
      <c r="E107" s="2" t="s">
        <v>85</v>
      </c>
      <c r="F107" s="2" t="s">
        <v>80</v>
      </c>
      <c r="G107" s="2">
        <v>0.5</v>
      </c>
      <c r="H107" s="2">
        <v>20</v>
      </c>
      <c r="I107" s="4">
        <v>7.7140000000000004</v>
      </c>
      <c r="J107" s="4">
        <v>0.57699999999999996</v>
      </c>
      <c r="K107" s="6">
        <v>3</v>
      </c>
      <c r="L107" s="4">
        <v>8.8019999999999996</v>
      </c>
      <c r="M107" s="4">
        <v>0.50300000000000011</v>
      </c>
      <c r="N107" s="2">
        <v>3</v>
      </c>
      <c r="O107" s="2" t="s">
        <v>75</v>
      </c>
      <c r="P107" s="2" t="s">
        <v>616</v>
      </c>
      <c r="R107" s="2" t="s">
        <v>73</v>
      </c>
      <c r="S107" s="2" t="s">
        <v>73</v>
      </c>
      <c r="T107" s="2">
        <v>17</v>
      </c>
      <c r="V107" s="2">
        <v>120</v>
      </c>
      <c r="W107" s="2" t="s">
        <v>73</v>
      </c>
      <c r="X107" s="2">
        <v>12</v>
      </c>
      <c r="Z107" s="2" t="s">
        <v>98</v>
      </c>
      <c r="AC107" s="2" t="s">
        <v>116</v>
      </c>
      <c r="AD107" s="2">
        <v>730</v>
      </c>
      <c r="AF107" s="2" t="s">
        <v>133</v>
      </c>
      <c r="AG107" s="2" t="s">
        <v>87</v>
      </c>
      <c r="AH107" s="2" t="s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EEFD-B10C-D04E-9E61-97FC6E4B1EBB}">
  <sheetPr codeName="Sheet3"/>
  <dimension ref="A1:AH93"/>
  <sheetViews>
    <sheetView topLeftCell="A52" workbookViewId="0">
      <selection activeCell="P90" sqref="P90"/>
    </sheetView>
  </sheetViews>
  <sheetFormatPr baseColWidth="10" defaultRowHeight="14" x14ac:dyDescent="0.2"/>
  <cols>
    <col min="1" max="1" width="10.83203125" style="2"/>
    <col min="2" max="2" width="10.5" style="2" bestFit="1" customWidth="1"/>
    <col min="3" max="3" width="26" style="2" bestFit="1" customWidth="1"/>
    <col min="4" max="4" width="10.83203125" style="2" bestFit="1" customWidth="1"/>
    <col min="5" max="5" width="3.6640625" style="2" bestFit="1" customWidth="1"/>
    <col min="6" max="6" width="6.6640625" style="2" bestFit="1" customWidth="1"/>
    <col min="7" max="7" width="4.5" style="2" bestFit="1" customWidth="1"/>
    <col min="8" max="8" width="7.5" style="2" bestFit="1" customWidth="1"/>
    <col min="9" max="10" width="6.6640625" style="4" bestFit="1" customWidth="1"/>
    <col min="11" max="11" width="2.83203125" style="2" bestFit="1" customWidth="1"/>
    <col min="12" max="13" width="5" style="4" bestFit="1" customWidth="1"/>
    <col min="14" max="14" width="2.83203125" style="2" bestFit="1" customWidth="1"/>
    <col min="15" max="15" width="5.1640625" style="2" bestFit="1" customWidth="1"/>
    <col min="16" max="16" width="5.1640625" style="2" customWidth="1"/>
    <col min="17" max="17" width="3.5" style="2" bestFit="1" customWidth="1"/>
    <col min="18" max="18" width="4.83203125" style="2" bestFit="1" customWidth="1"/>
    <col min="19" max="19" width="5.6640625" style="2" bestFit="1" customWidth="1"/>
    <col min="20" max="20" width="2.83203125" style="2" bestFit="1" customWidth="1"/>
    <col min="21" max="21" width="5.33203125" style="2" bestFit="1" customWidth="1"/>
    <col min="22" max="22" width="3.6640625" style="2" bestFit="1" customWidth="1"/>
    <col min="23" max="23" width="4.5" style="2" bestFit="1" customWidth="1"/>
    <col min="24" max="25" width="2.83203125" style="2" bestFit="1" customWidth="1"/>
    <col min="26" max="26" width="6.83203125" style="2" bestFit="1" customWidth="1"/>
    <col min="27" max="27" width="9.1640625" style="2" bestFit="1" customWidth="1"/>
    <col min="28" max="28" width="5.5" style="2" bestFit="1" customWidth="1"/>
    <col min="29" max="29" width="5.5" style="2" customWidth="1"/>
    <col min="30" max="30" width="7.5" style="2" bestFit="1" customWidth="1"/>
    <col min="31" max="31" width="3.5" style="2" bestFit="1" customWidth="1"/>
    <col min="32" max="32" width="6.6640625" style="2" bestFit="1" customWidth="1"/>
    <col min="33" max="33" width="8" style="2" bestFit="1" customWidth="1"/>
    <col min="34" max="34" width="42.1640625" style="2" bestFit="1" customWidth="1"/>
    <col min="35" max="16384" width="10.83203125" style="2"/>
  </cols>
  <sheetData>
    <row r="1" spans="1:34" x14ac:dyDescent="0.2">
      <c r="A1" s="2" t="s">
        <v>606</v>
      </c>
      <c r="B1" s="2" t="s">
        <v>10</v>
      </c>
      <c r="C1" s="2" t="s">
        <v>12</v>
      </c>
      <c r="D1" s="2" t="s">
        <v>15</v>
      </c>
      <c r="E1" s="2" t="s">
        <v>54</v>
      </c>
      <c r="F1" s="2" t="s">
        <v>77</v>
      </c>
      <c r="G1" s="2" t="s">
        <v>17</v>
      </c>
      <c r="H1" s="2" t="s">
        <v>19</v>
      </c>
      <c r="I1" s="4" t="s">
        <v>21</v>
      </c>
      <c r="J1" s="4" t="s">
        <v>23</v>
      </c>
      <c r="K1" s="2" t="s">
        <v>25</v>
      </c>
      <c r="L1" s="4" t="s">
        <v>27</v>
      </c>
      <c r="M1" s="4" t="s">
        <v>28</v>
      </c>
      <c r="N1" s="2" t="s">
        <v>29</v>
      </c>
      <c r="O1" s="2" t="s">
        <v>8</v>
      </c>
      <c r="P1" s="2" t="s">
        <v>604</v>
      </c>
      <c r="Q1" s="2" t="s">
        <v>48</v>
      </c>
      <c r="R1" s="2" t="s">
        <v>62</v>
      </c>
      <c r="S1" s="2" t="s">
        <v>64</v>
      </c>
      <c r="T1" s="2" t="s">
        <v>608</v>
      </c>
      <c r="U1" s="2" t="s">
        <v>41</v>
      </c>
      <c r="V1" s="2" t="s">
        <v>33</v>
      </c>
      <c r="W1" s="2" t="s">
        <v>113</v>
      </c>
      <c r="X1" s="2" t="s">
        <v>36</v>
      </c>
      <c r="Y1" s="2" t="s">
        <v>34</v>
      </c>
      <c r="Z1" s="2" t="s">
        <v>57</v>
      </c>
      <c r="AA1" s="2" t="s">
        <v>58</v>
      </c>
      <c r="AB1" s="2" t="s">
        <v>96</v>
      </c>
      <c r="AC1" s="2" t="s">
        <v>115</v>
      </c>
      <c r="AD1" s="2" t="s">
        <v>44</v>
      </c>
      <c r="AE1" s="2" t="s">
        <v>46</v>
      </c>
      <c r="AF1" s="2" t="s">
        <v>50</v>
      </c>
      <c r="AG1" s="2" t="s">
        <v>52</v>
      </c>
      <c r="AH1" s="2" t="s">
        <v>59</v>
      </c>
    </row>
    <row r="2" spans="1:34" x14ac:dyDescent="0.2">
      <c r="A2" s="2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78</v>
      </c>
      <c r="G2" s="2">
        <v>6.08</v>
      </c>
      <c r="H2" s="2">
        <v>60</v>
      </c>
      <c r="I2" s="4">
        <v>203</v>
      </c>
      <c r="J2" s="4">
        <v>52</v>
      </c>
      <c r="K2" s="2">
        <v>30</v>
      </c>
      <c r="L2" s="4">
        <v>184</v>
      </c>
      <c r="M2" s="4">
        <v>25</v>
      </c>
      <c r="N2" s="2">
        <v>30</v>
      </c>
      <c r="O2" s="2" t="s">
        <v>75</v>
      </c>
      <c r="R2" s="2" t="s">
        <v>73</v>
      </c>
      <c r="S2" s="2" t="s">
        <v>73</v>
      </c>
      <c r="T2" s="2">
        <v>18</v>
      </c>
      <c r="V2" s="2">
        <v>53</v>
      </c>
      <c r="X2" s="2">
        <v>16</v>
      </c>
      <c r="Y2" s="2">
        <v>35</v>
      </c>
      <c r="Z2" s="2" t="s">
        <v>74</v>
      </c>
      <c r="AC2" s="2" t="s">
        <v>116</v>
      </c>
      <c r="AF2" s="2" t="s">
        <v>72</v>
      </c>
      <c r="AG2" s="2" t="s">
        <v>73</v>
      </c>
      <c r="AH2" s="2" t="s">
        <v>81</v>
      </c>
    </row>
    <row r="3" spans="1:34" x14ac:dyDescent="0.2">
      <c r="A3" s="2">
        <v>2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80</v>
      </c>
      <c r="G3" s="2">
        <v>6.08</v>
      </c>
      <c r="H3" s="2">
        <v>60</v>
      </c>
      <c r="I3" s="4">
        <v>16.399999999999999</v>
      </c>
      <c r="J3" s="4">
        <v>1.8</v>
      </c>
      <c r="K3" s="2">
        <v>30</v>
      </c>
      <c r="L3" s="4">
        <v>8.8000000000000007</v>
      </c>
      <c r="M3" s="4">
        <v>2.5</v>
      </c>
      <c r="N3" s="2">
        <v>30</v>
      </c>
      <c r="O3" s="2" t="s">
        <v>75</v>
      </c>
      <c r="R3" s="2" t="s">
        <v>73</v>
      </c>
      <c r="S3" s="2" t="s">
        <v>73</v>
      </c>
      <c r="T3" s="2">
        <v>18</v>
      </c>
      <c r="V3" s="2">
        <v>53</v>
      </c>
      <c r="X3" s="2">
        <v>16</v>
      </c>
      <c r="Y3" s="2">
        <v>35</v>
      </c>
      <c r="Z3" s="2" t="s">
        <v>74</v>
      </c>
      <c r="AC3" s="2" t="s">
        <v>116</v>
      </c>
      <c r="AF3" s="2" t="s">
        <v>72</v>
      </c>
      <c r="AG3" s="2" t="s">
        <v>73</v>
      </c>
      <c r="AH3" s="2" t="s">
        <v>81</v>
      </c>
    </row>
    <row r="4" spans="1:34" x14ac:dyDescent="0.2">
      <c r="A4" s="2">
        <v>3</v>
      </c>
      <c r="B4" s="8" t="s">
        <v>119</v>
      </c>
      <c r="C4" s="8" t="s">
        <v>236</v>
      </c>
      <c r="D4" s="8" t="s">
        <v>121</v>
      </c>
      <c r="E4" s="8" t="s">
        <v>122</v>
      </c>
      <c r="F4" s="8" t="s">
        <v>78</v>
      </c>
      <c r="G4" s="2">
        <v>35.200000000000003</v>
      </c>
      <c r="H4" s="2">
        <v>88</v>
      </c>
      <c r="I4" s="7">
        <v>233.483</v>
      </c>
      <c r="J4" s="7">
        <v>20.550999999999998</v>
      </c>
      <c r="K4" s="9">
        <v>3</v>
      </c>
      <c r="L4" s="7">
        <v>288.60000000000002</v>
      </c>
      <c r="M4" s="7">
        <v>6.2</v>
      </c>
      <c r="N4" s="8">
        <v>3</v>
      </c>
      <c r="O4" s="8" t="s">
        <v>75</v>
      </c>
      <c r="P4" s="8" t="s">
        <v>34</v>
      </c>
      <c r="Q4" s="8"/>
      <c r="R4" s="8" t="s">
        <v>73</v>
      </c>
      <c r="S4" s="8" t="s">
        <v>73</v>
      </c>
      <c r="T4" s="8">
        <v>18</v>
      </c>
      <c r="U4" s="8"/>
      <c r="V4" s="8">
        <v>150</v>
      </c>
      <c r="W4" s="8" t="s">
        <v>73</v>
      </c>
      <c r="X4" s="8">
        <v>16</v>
      </c>
      <c r="Y4" s="8">
        <v>37</v>
      </c>
      <c r="Z4" s="8" t="s">
        <v>98</v>
      </c>
      <c r="AA4" s="8"/>
      <c r="AB4" s="8"/>
      <c r="AC4" s="8" t="s">
        <v>116</v>
      </c>
      <c r="AD4" s="8"/>
      <c r="AE4" s="8"/>
      <c r="AF4" s="8" t="s">
        <v>123</v>
      </c>
      <c r="AG4" s="8" t="s">
        <v>73</v>
      </c>
      <c r="AH4" s="8" t="s">
        <v>130</v>
      </c>
    </row>
    <row r="5" spans="1:34" x14ac:dyDescent="0.2">
      <c r="A5" s="2">
        <v>4</v>
      </c>
      <c r="B5" s="8" t="s">
        <v>119</v>
      </c>
      <c r="C5" s="8" t="s">
        <v>236</v>
      </c>
      <c r="D5" s="8" t="s">
        <v>121</v>
      </c>
      <c r="E5" s="8" t="s">
        <v>122</v>
      </c>
      <c r="F5" s="8" t="s">
        <v>80</v>
      </c>
      <c r="G5" s="2">
        <v>35.200000000000003</v>
      </c>
      <c r="H5" s="2">
        <v>88</v>
      </c>
      <c r="I5" s="7">
        <v>15.9</v>
      </c>
      <c r="J5" s="7">
        <v>0.161</v>
      </c>
      <c r="K5" s="9">
        <v>3</v>
      </c>
      <c r="L5" s="7">
        <v>10.7</v>
      </c>
      <c r="M5" s="7">
        <v>0.2</v>
      </c>
      <c r="N5" s="8">
        <v>3</v>
      </c>
      <c r="O5" s="8" t="s">
        <v>75</v>
      </c>
      <c r="P5" s="8" t="s">
        <v>34</v>
      </c>
      <c r="Q5" s="8"/>
      <c r="R5" s="8" t="s">
        <v>73</v>
      </c>
      <c r="S5" s="8" t="s">
        <v>73</v>
      </c>
      <c r="T5" s="8">
        <v>18</v>
      </c>
      <c r="U5" s="8"/>
      <c r="V5" s="8">
        <v>150</v>
      </c>
      <c r="W5" s="8" t="s">
        <v>73</v>
      </c>
      <c r="X5" s="8">
        <v>16</v>
      </c>
      <c r="Y5" s="8">
        <v>37</v>
      </c>
      <c r="Z5" s="8" t="s">
        <v>98</v>
      </c>
      <c r="AA5" s="8"/>
      <c r="AB5" s="8"/>
      <c r="AC5" s="8" t="s">
        <v>116</v>
      </c>
      <c r="AD5" s="8"/>
      <c r="AE5" s="8"/>
      <c r="AF5" s="8" t="s">
        <v>123</v>
      </c>
      <c r="AG5" s="8" t="s">
        <v>73</v>
      </c>
      <c r="AH5" s="8" t="s">
        <v>130</v>
      </c>
    </row>
    <row r="6" spans="1:34" x14ac:dyDescent="0.2">
      <c r="A6" s="2">
        <v>5</v>
      </c>
      <c r="B6" s="8" t="s">
        <v>119</v>
      </c>
      <c r="C6" s="8" t="s">
        <v>236</v>
      </c>
      <c r="D6" s="8" t="s">
        <v>121</v>
      </c>
      <c r="E6" s="8" t="s">
        <v>122</v>
      </c>
      <c r="F6" s="8" t="s">
        <v>78</v>
      </c>
      <c r="G6" s="2">
        <v>35.200000000000003</v>
      </c>
      <c r="H6" s="2">
        <v>88</v>
      </c>
      <c r="I6" s="7">
        <v>223.827</v>
      </c>
      <c r="J6" s="7">
        <v>6.5960000000000001</v>
      </c>
      <c r="K6" s="9">
        <v>3</v>
      </c>
      <c r="L6" s="7">
        <v>217.8</v>
      </c>
      <c r="M6" s="7">
        <v>12.9</v>
      </c>
      <c r="N6" s="8">
        <v>3</v>
      </c>
      <c r="O6" s="8" t="s">
        <v>75</v>
      </c>
      <c r="P6" s="8" t="s">
        <v>34</v>
      </c>
      <c r="Q6" s="8"/>
      <c r="R6" s="8" t="s">
        <v>73</v>
      </c>
      <c r="S6" s="8" t="s">
        <v>73</v>
      </c>
      <c r="T6" s="8">
        <v>24</v>
      </c>
      <c r="U6" s="8"/>
      <c r="V6" s="8">
        <v>150</v>
      </c>
      <c r="W6" s="8" t="s">
        <v>73</v>
      </c>
      <c r="X6" s="8">
        <v>16</v>
      </c>
      <c r="Y6" s="8">
        <v>37</v>
      </c>
      <c r="Z6" s="8" t="s">
        <v>98</v>
      </c>
      <c r="AA6" s="8"/>
      <c r="AB6" s="8"/>
      <c r="AC6" s="8" t="s">
        <v>116</v>
      </c>
      <c r="AD6" s="8"/>
      <c r="AE6" s="8"/>
      <c r="AF6" s="8" t="s">
        <v>123</v>
      </c>
      <c r="AG6" s="8" t="s">
        <v>73</v>
      </c>
      <c r="AH6" s="8" t="s">
        <v>131</v>
      </c>
    </row>
    <row r="7" spans="1:34" x14ac:dyDescent="0.2">
      <c r="A7" s="2">
        <v>6</v>
      </c>
      <c r="B7" s="8" t="s">
        <v>119</v>
      </c>
      <c r="C7" s="8" t="s">
        <v>236</v>
      </c>
      <c r="D7" s="8" t="s">
        <v>121</v>
      </c>
      <c r="E7" s="8" t="s">
        <v>122</v>
      </c>
      <c r="F7" s="8" t="s">
        <v>80</v>
      </c>
      <c r="G7" s="2">
        <v>35.200000000000003</v>
      </c>
      <c r="H7" s="2">
        <v>88</v>
      </c>
      <c r="I7" s="7">
        <v>13.682</v>
      </c>
      <c r="J7" s="7">
        <v>0.20100000000000001</v>
      </c>
      <c r="K7" s="9">
        <v>3</v>
      </c>
      <c r="L7" s="7">
        <v>9.1</v>
      </c>
      <c r="M7" s="7">
        <v>0.1</v>
      </c>
      <c r="N7" s="8">
        <v>3</v>
      </c>
      <c r="O7" s="8" t="s">
        <v>75</v>
      </c>
      <c r="P7" s="8" t="s">
        <v>34</v>
      </c>
      <c r="Q7" s="8"/>
      <c r="R7" s="8" t="s">
        <v>73</v>
      </c>
      <c r="S7" s="8" t="s">
        <v>73</v>
      </c>
      <c r="T7" s="8">
        <v>24</v>
      </c>
      <c r="U7" s="8"/>
      <c r="V7" s="8">
        <v>150</v>
      </c>
      <c r="W7" s="8" t="s">
        <v>73</v>
      </c>
      <c r="X7" s="8">
        <v>16</v>
      </c>
      <c r="Y7" s="8">
        <v>37</v>
      </c>
      <c r="Z7" s="8" t="s">
        <v>98</v>
      </c>
      <c r="AA7" s="8"/>
      <c r="AB7" s="8"/>
      <c r="AC7" s="8" t="s">
        <v>116</v>
      </c>
      <c r="AD7" s="8"/>
      <c r="AE7" s="8"/>
      <c r="AF7" s="8" t="s">
        <v>123</v>
      </c>
      <c r="AG7" s="8" t="s">
        <v>73</v>
      </c>
      <c r="AH7" s="8" t="s">
        <v>131</v>
      </c>
    </row>
    <row r="8" spans="1:34" x14ac:dyDescent="0.2">
      <c r="A8" s="2">
        <v>9</v>
      </c>
      <c r="B8" s="2" t="s">
        <v>178</v>
      </c>
      <c r="C8" s="2" t="s">
        <v>120</v>
      </c>
      <c r="D8" s="2" t="s">
        <v>121</v>
      </c>
      <c r="E8" s="2" t="s">
        <v>122</v>
      </c>
      <c r="F8" s="2" t="s">
        <v>78</v>
      </c>
      <c r="G8" s="2">
        <v>3.7</v>
      </c>
      <c r="H8" s="2">
        <v>200</v>
      </c>
      <c r="I8" s="4">
        <v>137.69</v>
      </c>
      <c r="J8" s="4">
        <v>8.27</v>
      </c>
      <c r="K8" s="6">
        <v>3</v>
      </c>
      <c r="L8" s="4">
        <v>104.82</v>
      </c>
      <c r="M8" s="2">
        <v>8.34</v>
      </c>
      <c r="N8" s="2">
        <v>3</v>
      </c>
      <c r="O8" s="2" t="s">
        <v>75</v>
      </c>
      <c r="P8" s="2" t="s">
        <v>616</v>
      </c>
      <c r="R8" s="2" t="s">
        <v>73</v>
      </c>
      <c r="S8" s="2" t="s">
        <v>73</v>
      </c>
      <c r="T8" s="2">
        <v>14</v>
      </c>
      <c r="U8" s="2" t="s">
        <v>73</v>
      </c>
      <c r="V8" s="2">
        <v>140</v>
      </c>
      <c r="W8" s="2" t="s">
        <v>73</v>
      </c>
      <c r="X8" s="2">
        <v>12</v>
      </c>
      <c r="Y8" s="2">
        <v>34.78</v>
      </c>
      <c r="Z8" s="2" t="s">
        <v>98</v>
      </c>
      <c r="AA8" s="2">
        <v>7</v>
      </c>
      <c r="AC8" s="2" t="s">
        <v>116</v>
      </c>
      <c r="AD8" s="2">
        <v>390</v>
      </c>
      <c r="AF8" s="2" t="s">
        <v>104</v>
      </c>
      <c r="AG8" s="2" t="s">
        <v>73</v>
      </c>
      <c r="AH8" s="2" t="s">
        <v>180</v>
      </c>
    </row>
    <row r="9" spans="1:34" x14ac:dyDescent="0.2">
      <c r="A9" s="2">
        <v>10</v>
      </c>
      <c r="B9" s="2" t="s">
        <v>178</v>
      </c>
      <c r="C9" s="2" t="s">
        <v>120</v>
      </c>
      <c r="D9" s="2" t="s">
        <v>121</v>
      </c>
      <c r="E9" s="2" t="s">
        <v>122</v>
      </c>
      <c r="F9" s="2" t="s">
        <v>80</v>
      </c>
      <c r="G9" s="2">
        <v>3.7</v>
      </c>
      <c r="H9" s="2">
        <v>200</v>
      </c>
      <c r="I9" s="4">
        <v>15.9</v>
      </c>
      <c r="J9" s="4">
        <v>4.09</v>
      </c>
      <c r="K9" s="6">
        <v>3</v>
      </c>
      <c r="L9" s="4">
        <v>7.32</v>
      </c>
      <c r="M9" s="2">
        <v>0.47</v>
      </c>
      <c r="N9" s="2">
        <v>3</v>
      </c>
      <c r="O9" s="2" t="s">
        <v>75</v>
      </c>
      <c r="P9" s="2" t="s">
        <v>616</v>
      </c>
      <c r="R9" s="2" t="s">
        <v>73</v>
      </c>
      <c r="S9" s="2" t="s">
        <v>73</v>
      </c>
      <c r="T9" s="2">
        <v>14</v>
      </c>
      <c r="U9" s="2" t="s">
        <v>73</v>
      </c>
      <c r="V9" s="2">
        <v>140</v>
      </c>
      <c r="W9" s="2" t="s">
        <v>73</v>
      </c>
      <c r="X9" s="2">
        <v>12</v>
      </c>
      <c r="Y9" s="2">
        <v>34.78</v>
      </c>
      <c r="Z9" s="2" t="s">
        <v>98</v>
      </c>
      <c r="AA9" s="2">
        <v>7</v>
      </c>
      <c r="AC9" s="2" t="s">
        <v>116</v>
      </c>
      <c r="AD9" s="2">
        <v>390</v>
      </c>
      <c r="AF9" s="2" t="s">
        <v>104</v>
      </c>
      <c r="AG9" s="2" t="s">
        <v>73</v>
      </c>
      <c r="AH9" s="2" t="s">
        <v>180</v>
      </c>
    </row>
    <row r="10" spans="1:34" x14ac:dyDescent="0.2">
      <c r="A10" s="2">
        <v>11</v>
      </c>
      <c r="B10" s="2" t="s">
        <v>234</v>
      </c>
      <c r="C10" s="2" t="s">
        <v>83</v>
      </c>
      <c r="D10" s="2" t="s">
        <v>84</v>
      </c>
      <c r="E10" s="2" t="s">
        <v>85</v>
      </c>
      <c r="F10" s="2" t="s">
        <v>80</v>
      </c>
      <c r="G10" s="2">
        <v>15</v>
      </c>
      <c r="H10" s="2">
        <v>100</v>
      </c>
      <c r="I10" s="4">
        <v>22.6</v>
      </c>
      <c r="J10" s="4">
        <v>0.7</v>
      </c>
      <c r="K10" s="2">
        <v>3</v>
      </c>
      <c r="L10" s="4">
        <v>10.5</v>
      </c>
      <c r="M10" s="4">
        <v>0.4</v>
      </c>
      <c r="N10" s="2">
        <v>3</v>
      </c>
      <c r="O10" s="2" t="s">
        <v>75</v>
      </c>
      <c r="P10" s="2" t="s">
        <v>616</v>
      </c>
      <c r="R10" s="2" t="s">
        <v>73</v>
      </c>
      <c r="S10" s="2" t="s">
        <v>73</v>
      </c>
      <c r="T10" s="2">
        <v>20</v>
      </c>
      <c r="V10" s="2">
        <v>150</v>
      </c>
      <c r="W10" s="2" t="s">
        <v>73</v>
      </c>
      <c r="X10" s="2">
        <v>24</v>
      </c>
      <c r="Z10" s="2" t="s">
        <v>98</v>
      </c>
      <c r="AA10" s="2">
        <v>60</v>
      </c>
      <c r="AB10" s="2" t="s">
        <v>87</v>
      </c>
      <c r="AC10" s="2" t="s">
        <v>116</v>
      </c>
      <c r="AD10" s="2">
        <v>400</v>
      </c>
      <c r="AF10" s="2" t="s">
        <v>235</v>
      </c>
      <c r="AG10" s="2" t="s">
        <v>73</v>
      </c>
      <c r="AH10" s="2" t="s">
        <v>531</v>
      </c>
    </row>
    <row r="11" spans="1:34" x14ac:dyDescent="0.2">
      <c r="A11" s="2">
        <v>12</v>
      </c>
      <c r="B11" s="2" t="s">
        <v>234</v>
      </c>
      <c r="C11" s="2" t="s">
        <v>83</v>
      </c>
      <c r="D11" s="2" t="s">
        <v>84</v>
      </c>
      <c r="E11" s="2" t="s">
        <v>85</v>
      </c>
      <c r="F11" s="2" t="s">
        <v>80</v>
      </c>
      <c r="G11" s="2">
        <v>15</v>
      </c>
      <c r="H11" s="2">
        <v>100</v>
      </c>
      <c r="I11" s="4">
        <v>24.3</v>
      </c>
      <c r="J11" s="4">
        <v>0.9</v>
      </c>
      <c r="K11" s="2">
        <v>3</v>
      </c>
      <c r="L11" s="4">
        <v>10.199999999999999</v>
      </c>
      <c r="M11" s="4">
        <v>0.2</v>
      </c>
      <c r="N11" s="2">
        <v>3</v>
      </c>
      <c r="O11" s="2" t="s">
        <v>75</v>
      </c>
      <c r="P11" s="2" t="s">
        <v>616</v>
      </c>
      <c r="R11" s="2" t="s">
        <v>73</v>
      </c>
      <c r="S11" s="2" t="s">
        <v>73</v>
      </c>
      <c r="T11" s="2">
        <v>20</v>
      </c>
      <c r="V11" s="2">
        <v>150</v>
      </c>
      <c r="W11" s="2" t="s">
        <v>73</v>
      </c>
      <c r="X11" s="2">
        <v>24</v>
      </c>
      <c r="Z11" s="2" t="s">
        <v>98</v>
      </c>
      <c r="AA11" s="2">
        <v>60</v>
      </c>
      <c r="AB11" s="2" t="s">
        <v>87</v>
      </c>
      <c r="AC11" s="2" t="s">
        <v>116</v>
      </c>
      <c r="AD11" s="2">
        <v>750</v>
      </c>
      <c r="AF11" s="2" t="s">
        <v>235</v>
      </c>
      <c r="AG11" s="2" t="s">
        <v>73</v>
      </c>
      <c r="AH11" s="2" t="s">
        <v>532</v>
      </c>
    </row>
    <row r="12" spans="1:34" x14ac:dyDescent="0.2">
      <c r="A12" s="2">
        <v>13</v>
      </c>
      <c r="B12" s="2" t="s">
        <v>234</v>
      </c>
      <c r="C12" s="2" t="s">
        <v>197</v>
      </c>
      <c r="D12" s="2" t="s">
        <v>84</v>
      </c>
      <c r="E12" s="2" t="s">
        <v>85</v>
      </c>
      <c r="F12" s="2" t="s">
        <v>80</v>
      </c>
      <c r="G12" s="2">
        <v>15</v>
      </c>
      <c r="H12" s="2">
        <v>100</v>
      </c>
      <c r="I12" s="4">
        <v>22.8</v>
      </c>
      <c r="J12" s="4">
        <v>1.1000000000000001</v>
      </c>
      <c r="K12" s="2">
        <v>3</v>
      </c>
      <c r="L12" s="4">
        <v>6.7</v>
      </c>
      <c r="M12" s="4">
        <v>0.2</v>
      </c>
      <c r="N12" s="2">
        <v>3</v>
      </c>
      <c r="O12" s="2" t="s">
        <v>75</v>
      </c>
      <c r="P12" s="2" t="s">
        <v>616</v>
      </c>
      <c r="R12" s="2" t="s">
        <v>73</v>
      </c>
      <c r="S12" s="2" t="s">
        <v>73</v>
      </c>
      <c r="T12" s="2">
        <v>20</v>
      </c>
      <c r="V12" s="2">
        <v>150</v>
      </c>
      <c r="W12" s="2" t="s">
        <v>73</v>
      </c>
      <c r="X12" s="2">
        <v>24</v>
      </c>
      <c r="Z12" s="2" t="s">
        <v>98</v>
      </c>
      <c r="AA12" s="2">
        <v>60</v>
      </c>
      <c r="AB12" s="2" t="s">
        <v>87</v>
      </c>
      <c r="AC12" s="2" t="s">
        <v>116</v>
      </c>
      <c r="AD12" s="2">
        <v>400</v>
      </c>
      <c r="AF12" s="2" t="s">
        <v>235</v>
      </c>
      <c r="AG12" s="2" t="s">
        <v>73</v>
      </c>
      <c r="AH12" s="2" t="s">
        <v>531</v>
      </c>
    </row>
    <row r="13" spans="1:34" x14ac:dyDescent="0.2">
      <c r="A13" s="2">
        <v>14</v>
      </c>
      <c r="B13" s="2" t="s">
        <v>234</v>
      </c>
      <c r="C13" s="2" t="s">
        <v>197</v>
      </c>
      <c r="D13" s="2" t="s">
        <v>84</v>
      </c>
      <c r="E13" s="2" t="s">
        <v>85</v>
      </c>
      <c r="F13" s="2" t="s">
        <v>80</v>
      </c>
      <c r="G13" s="2">
        <v>15</v>
      </c>
      <c r="H13" s="2">
        <v>100</v>
      </c>
      <c r="I13" s="4">
        <v>25.2</v>
      </c>
      <c r="J13" s="4">
        <v>0.3</v>
      </c>
      <c r="K13" s="2">
        <v>3</v>
      </c>
      <c r="L13" s="4">
        <v>7</v>
      </c>
      <c r="M13" s="4">
        <v>0.5</v>
      </c>
      <c r="N13" s="2">
        <v>3</v>
      </c>
      <c r="O13" s="2" t="s">
        <v>75</v>
      </c>
      <c r="P13" s="2" t="s">
        <v>616</v>
      </c>
      <c r="R13" s="2" t="s">
        <v>73</v>
      </c>
      <c r="S13" s="2" t="s">
        <v>73</v>
      </c>
      <c r="T13" s="2">
        <v>20</v>
      </c>
      <c r="V13" s="2">
        <v>150</v>
      </c>
      <c r="W13" s="2" t="s">
        <v>73</v>
      </c>
      <c r="X13" s="2">
        <v>24</v>
      </c>
      <c r="Z13" s="2" t="s">
        <v>98</v>
      </c>
      <c r="AA13" s="2">
        <v>60</v>
      </c>
      <c r="AB13" s="2" t="s">
        <v>87</v>
      </c>
      <c r="AC13" s="2" t="s">
        <v>116</v>
      </c>
      <c r="AD13" s="2">
        <v>750</v>
      </c>
      <c r="AF13" s="2" t="s">
        <v>235</v>
      </c>
      <c r="AG13" s="2" t="s">
        <v>73</v>
      </c>
      <c r="AH13" s="2" t="s">
        <v>532</v>
      </c>
    </row>
    <row r="14" spans="1:34" x14ac:dyDescent="0.2">
      <c r="A14" s="2">
        <v>15</v>
      </c>
      <c r="B14" s="2" t="s">
        <v>234</v>
      </c>
      <c r="C14" s="2" t="s">
        <v>237</v>
      </c>
      <c r="D14" s="2" t="s">
        <v>84</v>
      </c>
      <c r="E14" s="2" t="s">
        <v>85</v>
      </c>
      <c r="F14" s="2" t="s">
        <v>80</v>
      </c>
      <c r="G14" s="2">
        <v>15</v>
      </c>
      <c r="H14" s="2">
        <v>100</v>
      </c>
      <c r="I14" s="4">
        <v>33</v>
      </c>
      <c r="J14" s="4">
        <v>4.0999999999999996</v>
      </c>
      <c r="K14" s="2">
        <v>3</v>
      </c>
      <c r="L14" s="4">
        <v>8.1</v>
      </c>
      <c r="M14" s="4">
        <v>0.5</v>
      </c>
      <c r="N14" s="2">
        <v>3</v>
      </c>
      <c r="O14" s="2" t="s">
        <v>75</v>
      </c>
      <c r="P14" s="2" t="s">
        <v>616</v>
      </c>
      <c r="R14" s="2" t="s">
        <v>73</v>
      </c>
      <c r="S14" s="2" t="s">
        <v>73</v>
      </c>
      <c r="T14" s="2">
        <v>20</v>
      </c>
      <c r="V14" s="2">
        <v>150</v>
      </c>
      <c r="W14" s="2" t="s">
        <v>73</v>
      </c>
      <c r="X14" s="2">
        <v>24</v>
      </c>
      <c r="Z14" s="2" t="s">
        <v>98</v>
      </c>
      <c r="AA14" s="2">
        <v>60</v>
      </c>
      <c r="AB14" s="2" t="s">
        <v>87</v>
      </c>
      <c r="AC14" s="2" t="s">
        <v>116</v>
      </c>
      <c r="AD14" s="2">
        <v>400</v>
      </c>
      <c r="AF14" s="2" t="s">
        <v>235</v>
      </c>
      <c r="AG14" s="2" t="s">
        <v>73</v>
      </c>
      <c r="AH14" s="2" t="s">
        <v>531</v>
      </c>
    </row>
    <row r="15" spans="1:34" x14ac:dyDescent="0.2">
      <c r="A15" s="2">
        <v>16</v>
      </c>
      <c r="B15" s="2" t="s">
        <v>234</v>
      </c>
      <c r="C15" s="2" t="s">
        <v>237</v>
      </c>
      <c r="D15" s="2" t="s">
        <v>84</v>
      </c>
      <c r="E15" s="2" t="s">
        <v>85</v>
      </c>
      <c r="F15" s="2" t="s">
        <v>80</v>
      </c>
      <c r="G15" s="2">
        <v>15</v>
      </c>
      <c r="H15" s="2">
        <v>100</v>
      </c>
      <c r="I15" s="4">
        <v>40.200000000000003</v>
      </c>
      <c r="J15" s="4">
        <v>0.8</v>
      </c>
      <c r="K15" s="2">
        <v>3</v>
      </c>
      <c r="L15" s="4">
        <v>8.5</v>
      </c>
      <c r="M15" s="4">
        <v>0.3</v>
      </c>
      <c r="N15" s="2">
        <v>3</v>
      </c>
      <c r="O15" s="2" t="s">
        <v>75</v>
      </c>
      <c r="P15" s="2" t="s">
        <v>616</v>
      </c>
      <c r="R15" s="2" t="s">
        <v>73</v>
      </c>
      <c r="S15" s="2" t="s">
        <v>73</v>
      </c>
      <c r="T15" s="2">
        <v>20</v>
      </c>
      <c r="V15" s="2">
        <v>150</v>
      </c>
      <c r="W15" s="2" t="s">
        <v>73</v>
      </c>
      <c r="X15" s="2">
        <v>24</v>
      </c>
      <c r="Z15" s="2" t="s">
        <v>98</v>
      </c>
      <c r="AA15" s="2">
        <v>60</v>
      </c>
      <c r="AB15" s="2" t="s">
        <v>87</v>
      </c>
      <c r="AC15" s="2" t="s">
        <v>116</v>
      </c>
      <c r="AD15" s="2">
        <v>750</v>
      </c>
      <c r="AF15" s="2" t="s">
        <v>235</v>
      </c>
      <c r="AG15" s="2" t="s">
        <v>73</v>
      </c>
      <c r="AH15" s="2" t="s">
        <v>532</v>
      </c>
    </row>
    <row r="16" spans="1:34" x14ac:dyDescent="0.2">
      <c r="A16" s="2">
        <v>17</v>
      </c>
      <c r="B16" s="2" t="s">
        <v>261</v>
      </c>
      <c r="C16" s="2" t="s">
        <v>262</v>
      </c>
      <c r="D16" s="2" t="s">
        <v>70</v>
      </c>
      <c r="E16" s="2" t="s">
        <v>71</v>
      </c>
      <c r="F16" s="2" t="s">
        <v>80</v>
      </c>
      <c r="G16" s="2">
        <v>11</v>
      </c>
      <c r="H16" s="2">
        <v>882</v>
      </c>
      <c r="I16" s="4">
        <v>24.60681399631676</v>
      </c>
      <c r="J16" s="4">
        <v>2.4564668980557123</v>
      </c>
      <c r="K16" s="2">
        <v>3</v>
      </c>
      <c r="L16" s="4">
        <v>11.522148394241416</v>
      </c>
      <c r="M16" s="4">
        <v>1.297816719593478</v>
      </c>
      <c r="N16" s="2">
        <v>3</v>
      </c>
      <c r="O16" s="2" t="s">
        <v>95</v>
      </c>
      <c r="P16" s="2" t="s">
        <v>616</v>
      </c>
      <c r="R16" s="2" t="s">
        <v>73</v>
      </c>
      <c r="S16" s="2" t="s">
        <v>73</v>
      </c>
      <c r="T16" s="2">
        <v>20</v>
      </c>
      <c r="V16" s="2">
        <v>100</v>
      </c>
      <c r="X16" s="2">
        <v>14</v>
      </c>
      <c r="Z16" s="2" t="s">
        <v>98</v>
      </c>
      <c r="AB16" s="2" t="s">
        <v>87</v>
      </c>
      <c r="AC16" s="2" t="s">
        <v>116</v>
      </c>
      <c r="AF16" s="2" t="s">
        <v>94</v>
      </c>
      <c r="AG16" s="2" t="s">
        <v>73</v>
      </c>
      <c r="AH16" s="2" t="s">
        <v>263</v>
      </c>
    </row>
    <row r="17" spans="1:34" x14ac:dyDescent="0.2">
      <c r="A17" s="2">
        <v>18</v>
      </c>
      <c r="B17" s="2" t="s">
        <v>269</v>
      </c>
      <c r="C17" s="2" t="s">
        <v>270</v>
      </c>
      <c r="D17" s="2" t="s">
        <v>121</v>
      </c>
      <c r="E17" s="2" t="s">
        <v>106</v>
      </c>
      <c r="F17" s="2" t="s">
        <v>78</v>
      </c>
      <c r="G17" s="2">
        <v>2</v>
      </c>
      <c r="H17" s="2">
        <v>32</v>
      </c>
      <c r="I17" s="4">
        <v>111.6</v>
      </c>
      <c r="J17" s="4">
        <v>19.100000000000001</v>
      </c>
      <c r="K17" s="6">
        <v>3</v>
      </c>
      <c r="L17" s="4">
        <v>122.2</v>
      </c>
      <c r="M17" s="4">
        <v>21.6</v>
      </c>
      <c r="N17" s="2">
        <v>3</v>
      </c>
      <c r="O17" s="2" t="s">
        <v>75</v>
      </c>
      <c r="P17" s="2" t="s">
        <v>34</v>
      </c>
      <c r="R17" s="2" t="s">
        <v>73</v>
      </c>
      <c r="S17" s="2" t="s">
        <v>73</v>
      </c>
      <c r="T17" s="2">
        <v>16</v>
      </c>
      <c r="V17" s="2">
        <v>200</v>
      </c>
      <c r="W17" s="2" t="s">
        <v>73</v>
      </c>
      <c r="X17" s="2">
        <v>16</v>
      </c>
      <c r="Y17" s="2">
        <v>21</v>
      </c>
      <c r="Z17" s="2" t="s">
        <v>98</v>
      </c>
      <c r="AB17" s="2" t="s">
        <v>73</v>
      </c>
      <c r="AC17" s="2" t="s">
        <v>116</v>
      </c>
      <c r="AF17" s="2" t="s">
        <v>104</v>
      </c>
      <c r="AG17" s="2" t="s">
        <v>73</v>
      </c>
      <c r="AH17" s="2" t="s">
        <v>533</v>
      </c>
    </row>
    <row r="18" spans="1:34" x14ac:dyDescent="0.2">
      <c r="A18" s="2">
        <v>19</v>
      </c>
      <c r="B18" s="2" t="s">
        <v>269</v>
      </c>
      <c r="C18" s="2" t="s">
        <v>270</v>
      </c>
      <c r="D18" s="2" t="s">
        <v>121</v>
      </c>
      <c r="E18" s="2" t="s">
        <v>106</v>
      </c>
      <c r="F18" s="2" t="s">
        <v>80</v>
      </c>
      <c r="G18" s="2">
        <v>2</v>
      </c>
      <c r="H18" s="2">
        <v>32</v>
      </c>
      <c r="I18" s="4">
        <v>12.9</v>
      </c>
      <c r="J18" s="4">
        <v>0.7</v>
      </c>
      <c r="K18" s="6">
        <v>3</v>
      </c>
      <c r="L18" s="4">
        <v>7.7</v>
      </c>
      <c r="M18" s="4">
        <v>1.4</v>
      </c>
      <c r="N18" s="2">
        <v>3</v>
      </c>
      <c r="O18" s="2" t="s">
        <v>75</v>
      </c>
      <c r="P18" s="2" t="s">
        <v>34</v>
      </c>
      <c r="R18" s="2" t="s">
        <v>73</v>
      </c>
      <c r="S18" s="2" t="s">
        <v>73</v>
      </c>
      <c r="T18" s="2">
        <v>16</v>
      </c>
      <c r="V18" s="2">
        <v>200</v>
      </c>
      <c r="W18" s="2" t="s">
        <v>73</v>
      </c>
      <c r="X18" s="2">
        <v>16</v>
      </c>
      <c r="Y18" s="2">
        <v>21</v>
      </c>
      <c r="Z18" s="2" t="s">
        <v>98</v>
      </c>
      <c r="AB18" s="2" t="s">
        <v>73</v>
      </c>
      <c r="AC18" s="2" t="s">
        <v>116</v>
      </c>
      <c r="AF18" s="2" t="s">
        <v>104</v>
      </c>
      <c r="AG18" s="2" t="s">
        <v>73</v>
      </c>
      <c r="AH18" s="2" t="s">
        <v>533</v>
      </c>
    </row>
    <row r="19" spans="1:34" x14ac:dyDescent="0.2">
      <c r="A19" s="2">
        <v>20</v>
      </c>
      <c r="B19" s="2" t="s">
        <v>271</v>
      </c>
      <c r="C19" s="2" t="s">
        <v>272</v>
      </c>
      <c r="D19" s="2" t="s">
        <v>121</v>
      </c>
      <c r="E19" s="2" t="s">
        <v>106</v>
      </c>
      <c r="F19" s="2" t="s">
        <v>78</v>
      </c>
      <c r="G19" s="2">
        <v>2</v>
      </c>
      <c r="H19" s="2">
        <v>32</v>
      </c>
      <c r="I19" s="4">
        <v>112.9</v>
      </c>
      <c r="J19" s="4">
        <v>36.799999999999997</v>
      </c>
      <c r="K19" s="6">
        <v>4</v>
      </c>
      <c r="L19" s="4">
        <v>146.30000000000001</v>
      </c>
      <c r="M19" s="4">
        <v>18.5</v>
      </c>
      <c r="N19" s="2">
        <v>4</v>
      </c>
      <c r="O19" s="2" t="s">
        <v>75</v>
      </c>
      <c r="P19" s="2" t="s">
        <v>34</v>
      </c>
      <c r="R19" s="2" t="s">
        <v>73</v>
      </c>
      <c r="S19" s="2" t="s">
        <v>73</v>
      </c>
      <c r="T19" s="2">
        <v>16</v>
      </c>
      <c r="V19" s="2">
        <v>200</v>
      </c>
      <c r="W19" s="2" t="s">
        <v>73</v>
      </c>
      <c r="X19" s="2">
        <v>16</v>
      </c>
      <c r="Y19" s="2">
        <v>9</v>
      </c>
      <c r="Z19" s="2" t="s">
        <v>98</v>
      </c>
      <c r="AB19" s="2" t="s">
        <v>73</v>
      </c>
      <c r="AC19" s="2" t="s">
        <v>116</v>
      </c>
      <c r="AF19" s="2" t="s">
        <v>104</v>
      </c>
      <c r="AG19" s="2" t="s">
        <v>73</v>
      </c>
      <c r="AH19" s="2" t="s">
        <v>533</v>
      </c>
    </row>
    <row r="20" spans="1:34" x14ac:dyDescent="0.2">
      <c r="A20" s="2">
        <v>21</v>
      </c>
      <c r="B20" s="2" t="s">
        <v>271</v>
      </c>
      <c r="C20" s="2" t="s">
        <v>272</v>
      </c>
      <c r="D20" s="2" t="s">
        <v>121</v>
      </c>
      <c r="E20" s="2" t="s">
        <v>106</v>
      </c>
      <c r="F20" s="2" t="s">
        <v>80</v>
      </c>
      <c r="G20" s="2">
        <v>2</v>
      </c>
      <c r="H20" s="2">
        <v>32</v>
      </c>
      <c r="I20" s="4">
        <v>19.100000000000001</v>
      </c>
      <c r="J20" s="4">
        <v>0.9</v>
      </c>
      <c r="K20" s="6">
        <v>4</v>
      </c>
      <c r="L20" s="4">
        <v>10.4</v>
      </c>
      <c r="M20" s="4">
        <v>1.1000000000000001</v>
      </c>
      <c r="N20" s="2">
        <v>4</v>
      </c>
      <c r="O20" s="2" t="s">
        <v>75</v>
      </c>
      <c r="P20" s="2" t="s">
        <v>34</v>
      </c>
      <c r="R20" s="2" t="s">
        <v>73</v>
      </c>
      <c r="S20" s="2" t="s">
        <v>73</v>
      </c>
      <c r="T20" s="2">
        <v>16</v>
      </c>
      <c r="V20" s="2">
        <v>200</v>
      </c>
      <c r="W20" s="2" t="s">
        <v>73</v>
      </c>
      <c r="X20" s="2">
        <v>16</v>
      </c>
      <c r="Y20" s="2">
        <v>9</v>
      </c>
      <c r="Z20" s="2" t="s">
        <v>98</v>
      </c>
      <c r="AB20" s="2" t="s">
        <v>73</v>
      </c>
      <c r="AC20" s="2" t="s">
        <v>116</v>
      </c>
      <c r="AF20" s="2" t="s">
        <v>104</v>
      </c>
      <c r="AG20" s="2" t="s">
        <v>73</v>
      </c>
      <c r="AH20" s="2" t="s">
        <v>533</v>
      </c>
    </row>
    <row r="21" spans="1:34" x14ac:dyDescent="0.2">
      <c r="A21" s="2">
        <v>22</v>
      </c>
      <c r="B21" s="2" t="s">
        <v>273</v>
      </c>
      <c r="C21" s="2" t="s">
        <v>236</v>
      </c>
      <c r="D21" s="2" t="s">
        <v>121</v>
      </c>
      <c r="E21" s="2" t="s">
        <v>122</v>
      </c>
      <c r="F21" s="2" t="s">
        <v>80</v>
      </c>
      <c r="G21" s="2">
        <v>10</v>
      </c>
      <c r="H21" s="2">
        <v>280</v>
      </c>
      <c r="I21" s="4">
        <v>8.3000000000000007</v>
      </c>
      <c r="J21" s="4">
        <v>0.9</v>
      </c>
      <c r="K21" s="2">
        <v>3</v>
      </c>
      <c r="L21" s="4">
        <v>8.5</v>
      </c>
      <c r="M21" s="4">
        <v>0.5</v>
      </c>
      <c r="N21" s="2">
        <v>3</v>
      </c>
      <c r="O21" s="2" t="s">
        <v>75</v>
      </c>
      <c r="P21" s="2" t="s">
        <v>34</v>
      </c>
      <c r="R21" s="2" t="s">
        <v>73</v>
      </c>
      <c r="S21" s="2" t="s">
        <v>73</v>
      </c>
      <c r="T21" s="2">
        <v>15</v>
      </c>
      <c r="V21" s="2">
        <v>240</v>
      </c>
      <c r="W21" s="2" t="s">
        <v>73</v>
      </c>
      <c r="X21" s="2">
        <v>16</v>
      </c>
      <c r="Z21" s="2" t="s">
        <v>98</v>
      </c>
      <c r="AC21" s="2" t="s">
        <v>116</v>
      </c>
      <c r="AD21" s="2">
        <v>375</v>
      </c>
      <c r="AF21" s="2" t="s">
        <v>142</v>
      </c>
      <c r="AG21" s="2" t="s">
        <v>73</v>
      </c>
      <c r="AH21" s="2" t="s">
        <v>274</v>
      </c>
    </row>
    <row r="22" spans="1:34" x14ac:dyDescent="0.2">
      <c r="A22" s="2">
        <v>23</v>
      </c>
      <c r="B22" s="2" t="s">
        <v>275</v>
      </c>
      <c r="C22" s="2" t="s">
        <v>254</v>
      </c>
      <c r="D22" s="2" t="s">
        <v>92</v>
      </c>
      <c r="E22" s="2" t="s">
        <v>150</v>
      </c>
      <c r="F22" s="2" t="s">
        <v>78</v>
      </c>
      <c r="G22" s="2">
        <v>5</v>
      </c>
      <c r="H22" s="2">
        <v>16</v>
      </c>
      <c r="I22" s="4">
        <v>602.4</v>
      </c>
      <c r="J22" s="4">
        <v>22.1</v>
      </c>
      <c r="K22" s="2">
        <v>3</v>
      </c>
      <c r="L22" s="4">
        <v>790.3</v>
      </c>
      <c r="M22" s="4">
        <v>118.8</v>
      </c>
      <c r="N22" s="2">
        <v>3</v>
      </c>
      <c r="O22" s="2" t="s">
        <v>95</v>
      </c>
      <c r="P22" s="2" t="s">
        <v>34</v>
      </c>
      <c r="R22" s="2" t="s">
        <v>73</v>
      </c>
      <c r="S22" s="2" t="s">
        <v>73</v>
      </c>
      <c r="T22" s="2">
        <v>27</v>
      </c>
      <c r="V22" s="2">
        <v>80</v>
      </c>
      <c r="W22" s="2" t="s">
        <v>73</v>
      </c>
      <c r="X22" s="2">
        <v>12</v>
      </c>
      <c r="Z22" s="2" t="s">
        <v>89</v>
      </c>
      <c r="AA22" s="2">
        <v>10</v>
      </c>
      <c r="AB22" s="2" t="s">
        <v>87</v>
      </c>
      <c r="AC22" s="2" t="s">
        <v>610</v>
      </c>
      <c r="AF22" s="2" t="s">
        <v>276</v>
      </c>
      <c r="AG22" s="2" t="s">
        <v>73</v>
      </c>
      <c r="AH22" s="2" t="s">
        <v>534</v>
      </c>
    </row>
    <row r="23" spans="1:34" x14ac:dyDescent="0.2">
      <c r="A23" s="2">
        <v>24</v>
      </c>
      <c r="B23" s="2" t="s">
        <v>275</v>
      </c>
      <c r="C23" s="2" t="s">
        <v>254</v>
      </c>
      <c r="D23" s="2" t="s">
        <v>92</v>
      </c>
      <c r="E23" s="2" t="s">
        <v>150</v>
      </c>
      <c r="F23" s="2" t="s">
        <v>80</v>
      </c>
      <c r="G23" s="2">
        <v>5</v>
      </c>
      <c r="H23" s="2">
        <v>16</v>
      </c>
      <c r="I23" s="4">
        <v>5.3</v>
      </c>
      <c r="J23" s="4">
        <v>0.7</v>
      </c>
      <c r="K23" s="2">
        <v>3</v>
      </c>
      <c r="L23" s="4">
        <v>6.3</v>
      </c>
      <c r="M23" s="4">
        <v>1.4</v>
      </c>
      <c r="N23" s="2">
        <v>3</v>
      </c>
      <c r="O23" s="2" t="s">
        <v>95</v>
      </c>
      <c r="P23" s="2" t="s">
        <v>34</v>
      </c>
      <c r="R23" s="2" t="s">
        <v>73</v>
      </c>
      <c r="S23" s="2" t="s">
        <v>73</v>
      </c>
      <c r="T23" s="2">
        <v>27</v>
      </c>
      <c r="V23" s="2">
        <v>80</v>
      </c>
      <c r="W23" s="2" t="s">
        <v>73</v>
      </c>
      <c r="X23" s="2">
        <v>12</v>
      </c>
      <c r="Z23" s="2" t="s">
        <v>89</v>
      </c>
      <c r="AA23" s="2">
        <v>10</v>
      </c>
      <c r="AB23" s="2" t="s">
        <v>87</v>
      </c>
      <c r="AC23" s="2" t="s">
        <v>610</v>
      </c>
      <c r="AF23" s="2" t="s">
        <v>276</v>
      </c>
      <c r="AG23" s="2" t="s">
        <v>73</v>
      </c>
      <c r="AH23" s="2" t="s">
        <v>534</v>
      </c>
    </row>
    <row r="24" spans="1:34" x14ac:dyDescent="0.2">
      <c r="A24" s="2">
        <v>25</v>
      </c>
      <c r="B24" s="2" t="s">
        <v>275</v>
      </c>
      <c r="C24" s="2" t="s">
        <v>206</v>
      </c>
      <c r="D24" s="2" t="s">
        <v>92</v>
      </c>
      <c r="E24" s="2" t="s">
        <v>150</v>
      </c>
      <c r="F24" s="2" t="s">
        <v>78</v>
      </c>
      <c r="G24" s="2">
        <v>5</v>
      </c>
      <c r="H24" s="2">
        <v>16</v>
      </c>
      <c r="I24" s="4">
        <v>290.3</v>
      </c>
      <c r="J24" s="4">
        <v>69.900000000000006</v>
      </c>
      <c r="K24" s="2">
        <v>3</v>
      </c>
      <c r="L24" s="4">
        <v>270.3</v>
      </c>
      <c r="M24" s="4">
        <v>153.69999999999999</v>
      </c>
      <c r="N24" s="2">
        <v>3</v>
      </c>
      <c r="O24" s="2" t="s">
        <v>95</v>
      </c>
      <c r="P24" s="2" t="s">
        <v>34</v>
      </c>
      <c r="R24" s="2" t="s">
        <v>73</v>
      </c>
      <c r="S24" s="2" t="s">
        <v>73</v>
      </c>
      <c r="T24" s="2">
        <v>27</v>
      </c>
      <c r="V24" s="2">
        <v>80</v>
      </c>
      <c r="W24" s="2" t="s">
        <v>73</v>
      </c>
      <c r="X24" s="2">
        <v>12</v>
      </c>
      <c r="Z24" s="2" t="s">
        <v>89</v>
      </c>
      <c r="AA24" s="2">
        <v>10</v>
      </c>
      <c r="AB24" s="2" t="s">
        <v>87</v>
      </c>
      <c r="AC24" s="2" t="s">
        <v>610</v>
      </c>
      <c r="AF24" s="2" t="s">
        <v>276</v>
      </c>
      <c r="AG24" s="2" t="s">
        <v>73</v>
      </c>
      <c r="AH24" s="2" t="s">
        <v>534</v>
      </c>
    </row>
    <row r="25" spans="1:34" x14ac:dyDescent="0.2">
      <c r="A25" s="2">
        <v>26</v>
      </c>
      <c r="B25" s="2" t="s">
        <v>275</v>
      </c>
      <c r="C25" s="2" t="s">
        <v>206</v>
      </c>
      <c r="D25" s="2" t="s">
        <v>92</v>
      </c>
      <c r="E25" s="2" t="s">
        <v>150</v>
      </c>
      <c r="F25" s="2" t="s">
        <v>80</v>
      </c>
      <c r="G25" s="2">
        <v>5</v>
      </c>
      <c r="H25" s="2">
        <v>16</v>
      </c>
      <c r="I25" s="4">
        <v>6.2</v>
      </c>
      <c r="J25" s="4">
        <v>0.4</v>
      </c>
      <c r="K25" s="2">
        <v>3</v>
      </c>
      <c r="L25" s="4">
        <v>7.3</v>
      </c>
      <c r="M25" s="4">
        <v>0.7</v>
      </c>
      <c r="N25" s="2">
        <v>3</v>
      </c>
      <c r="O25" s="2" t="s">
        <v>95</v>
      </c>
      <c r="P25" s="2" t="s">
        <v>34</v>
      </c>
      <c r="R25" s="2" t="s">
        <v>73</v>
      </c>
      <c r="S25" s="2" t="s">
        <v>73</v>
      </c>
      <c r="T25" s="2">
        <v>27</v>
      </c>
      <c r="V25" s="2">
        <v>80</v>
      </c>
      <c r="W25" s="2" t="s">
        <v>73</v>
      </c>
      <c r="X25" s="2">
        <v>12</v>
      </c>
      <c r="Z25" s="2" t="s">
        <v>89</v>
      </c>
      <c r="AA25" s="2">
        <v>10</v>
      </c>
      <c r="AB25" s="2" t="s">
        <v>87</v>
      </c>
      <c r="AC25" s="2" t="s">
        <v>610</v>
      </c>
      <c r="AF25" s="2" t="s">
        <v>276</v>
      </c>
      <c r="AG25" s="2" t="s">
        <v>73</v>
      </c>
      <c r="AH25" s="2" t="s">
        <v>534</v>
      </c>
    </row>
    <row r="26" spans="1:34" x14ac:dyDescent="0.2">
      <c r="A26" s="2">
        <v>27</v>
      </c>
      <c r="B26" s="2" t="s">
        <v>303</v>
      </c>
      <c r="C26" s="2" t="s">
        <v>305</v>
      </c>
      <c r="D26" s="2" t="s">
        <v>135</v>
      </c>
      <c r="E26" s="2" t="s">
        <v>106</v>
      </c>
      <c r="F26" s="2" t="s">
        <v>78</v>
      </c>
      <c r="G26" s="2">
        <v>98</v>
      </c>
      <c r="H26" s="2">
        <v>883</v>
      </c>
      <c r="I26" s="4">
        <v>58.4</v>
      </c>
      <c r="J26" s="4">
        <v>2.7</v>
      </c>
      <c r="K26" s="6">
        <v>3</v>
      </c>
      <c r="L26" s="4">
        <v>50</v>
      </c>
      <c r="M26" s="4">
        <v>2.9</v>
      </c>
      <c r="N26" s="2">
        <v>3</v>
      </c>
      <c r="O26" s="2" t="s">
        <v>95</v>
      </c>
      <c r="R26" s="2" t="s">
        <v>73</v>
      </c>
      <c r="S26" s="2" t="s">
        <v>73</v>
      </c>
      <c r="V26" s="2">
        <v>250</v>
      </c>
      <c r="W26" s="2" t="s">
        <v>73</v>
      </c>
      <c r="X26" s="2">
        <v>24</v>
      </c>
      <c r="Z26" s="2" t="s">
        <v>89</v>
      </c>
      <c r="AB26" s="2" t="s">
        <v>87</v>
      </c>
      <c r="AC26" s="2" t="s">
        <v>116</v>
      </c>
      <c r="AF26" s="2" t="s">
        <v>142</v>
      </c>
      <c r="AG26" s="2" t="s">
        <v>73</v>
      </c>
      <c r="AH26" s="2" t="s">
        <v>306</v>
      </c>
    </row>
    <row r="27" spans="1:34" x14ac:dyDescent="0.2">
      <c r="A27" s="2">
        <v>28</v>
      </c>
      <c r="B27" s="2" t="s">
        <v>303</v>
      </c>
      <c r="C27" s="2" t="s">
        <v>305</v>
      </c>
      <c r="D27" s="2" t="s">
        <v>135</v>
      </c>
      <c r="E27" s="2" t="s">
        <v>106</v>
      </c>
      <c r="F27" s="2" t="s">
        <v>80</v>
      </c>
      <c r="G27" s="2">
        <v>98</v>
      </c>
      <c r="H27" s="2">
        <v>883</v>
      </c>
      <c r="I27" s="4">
        <v>20.2</v>
      </c>
      <c r="J27" s="4">
        <v>0.9</v>
      </c>
      <c r="K27" s="6">
        <v>3</v>
      </c>
      <c r="L27" s="4">
        <v>7.4</v>
      </c>
      <c r="M27" s="4">
        <v>0.2</v>
      </c>
      <c r="N27" s="2">
        <v>3</v>
      </c>
      <c r="O27" s="2" t="s">
        <v>95</v>
      </c>
      <c r="R27" s="2" t="s">
        <v>73</v>
      </c>
      <c r="S27" s="2" t="s">
        <v>73</v>
      </c>
      <c r="V27" s="2">
        <v>250</v>
      </c>
      <c r="W27" s="2" t="s">
        <v>73</v>
      </c>
      <c r="X27" s="2">
        <v>24</v>
      </c>
      <c r="Z27" s="2" t="s">
        <v>89</v>
      </c>
      <c r="AB27" s="2" t="s">
        <v>87</v>
      </c>
      <c r="AC27" s="2" t="s">
        <v>116</v>
      </c>
      <c r="AF27" s="2" t="s">
        <v>142</v>
      </c>
      <c r="AG27" s="2" t="s">
        <v>73</v>
      </c>
      <c r="AH27" s="2" t="s">
        <v>306</v>
      </c>
    </row>
    <row r="28" spans="1:34" x14ac:dyDescent="0.2">
      <c r="A28" s="2">
        <v>29</v>
      </c>
      <c r="B28" s="2" t="s">
        <v>303</v>
      </c>
      <c r="C28" s="2" t="s">
        <v>197</v>
      </c>
      <c r="D28" s="2" t="s">
        <v>84</v>
      </c>
      <c r="E28" s="2" t="s">
        <v>85</v>
      </c>
      <c r="F28" s="2" t="s">
        <v>78</v>
      </c>
      <c r="G28" s="2">
        <v>98</v>
      </c>
      <c r="H28" s="2">
        <v>883</v>
      </c>
      <c r="I28" s="4">
        <v>42.9</v>
      </c>
      <c r="J28" s="4">
        <v>4.2</v>
      </c>
      <c r="K28" s="6">
        <v>3</v>
      </c>
      <c r="L28" s="4">
        <v>47.8</v>
      </c>
      <c r="M28" s="4">
        <v>6.4</v>
      </c>
      <c r="N28" s="2">
        <v>3</v>
      </c>
      <c r="O28" s="2" t="s">
        <v>95</v>
      </c>
      <c r="R28" s="2" t="s">
        <v>73</v>
      </c>
      <c r="S28" s="2" t="s">
        <v>73</v>
      </c>
      <c r="V28" s="2">
        <v>250</v>
      </c>
      <c r="W28" s="2" t="s">
        <v>73</v>
      </c>
      <c r="X28" s="2">
        <v>24</v>
      </c>
      <c r="Z28" s="2" t="s">
        <v>89</v>
      </c>
      <c r="AB28" s="2" t="s">
        <v>87</v>
      </c>
      <c r="AC28" s="2" t="s">
        <v>116</v>
      </c>
      <c r="AF28" s="2" t="s">
        <v>142</v>
      </c>
      <c r="AG28" s="2" t="s">
        <v>73</v>
      </c>
      <c r="AH28" s="2" t="s">
        <v>306</v>
      </c>
    </row>
    <row r="29" spans="1:34" x14ac:dyDescent="0.2">
      <c r="A29" s="2">
        <v>30</v>
      </c>
      <c r="B29" s="2" t="s">
        <v>303</v>
      </c>
      <c r="C29" s="2" t="s">
        <v>197</v>
      </c>
      <c r="D29" s="2" t="s">
        <v>84</v>
      </c>
      <c r="E29" s="2" t="s">
        <v>85</v>
      </c>
      <c r="F29" s="2" t="s">
        <v>80</v>
      </c>
      <c r="G29" s="2">
        <v>98</v>
      </c>
      <c r="H29" s="2">
        <v>883</v>
      </c>
      <c r="I29" s="4">
        <v>24.3</v>
      </c>
      <c r="J29" s="4">
        <v>2.4</v>
      </c>
      <c r="K29" s="6">
        <v>3</v>
      </c>
      <c r="L29" s="4">
        <v>7.6</v>
      </c>
      <c r="M29" s="4">
        <v>0.9</v>
      </c>
      <c r="N29" s="2">
        <v>3</v>
      </c>
      <c r="O29" s="2" t="s">
        <v>95</v>
      </c>
      <c r="R29" s="2" t="s">
        <v>73</v>
      </c>
      <c r="S29" s="2" t="s">
        <v>73</v>
      </c>
      <c r="V29" s="2">
        <v>250</v>
      </c>
      <c r="W29" s="2" t="s">
        <v>73</v>
      </c>
      <c r="X29" s="2">
        <v>24</v>
      </c>
      <c r="Z29" s="2" t="s">
        <v>89</v>
      </c>
      <c r="AB29" s="2" t="s">
        <v>87</v>
      </c>
      <c r="AC29" s="2" t="s">
        <v>116</v>
      </c>
      <c r="AF29" s="2" t="s">
        <v>142</v>
      </c>
      <c r="AG29" s="2" t="s">
        <v>73</v>
      </c>
      <c r="AH29" s="2" t="s">
        <v>306</v>
      </c>
    </row>
    <row r="30" spans="1:34" x14ac:dyDescent="0.2">
      <c r="A30" s="2">
        <v>31</v>
      </c>
      <c r="B30" s="2" t="s">
        <v>308</v>
      </c>
      <c r="C30" s="2" t="s">
        <v>309</v>
      </c>
      <c r="D30" s="2" t="s">
        <v>121</v>
      </c>
      <c r="E30" s="2" t="s">
        <v>122</v>
      </c>
      <c r="F30" s="2" t="s">
        <v>78</v>
      </c>
      <c r="G30" s="2">
        <v>6</v>
      </c>
      <c r="H30" s="2">
        <v>750</v>
      </c>
      <c r="I30" s="4">
        <v>210.49198717948718</v>
      </c>
      <c r="J30" s="4">
        <v>32.393641783939451</v>
      </c>
      <c r="K30" s="6">
        <v>3</v>
      </c>
      <c r="L30" s="4">
        <v>202.22863247863251</v>
      </c>
      <c r="M30" s="4">
        <v>23.891215905593899</v>
      </c>
      <c r="N30" s="2">
        <v>3</v>
      </c>
      <c r="O30" s="2" t="s">
        <v>95</v>
      </c>
      <c r="P30" s="2" t="s">
        <v>34</v>
      </c>
      <c r="R30" s="2" t="s">
        <v>73</v>
      </c>
      <c r="S30" s="2" t="s">
        <v>73</v>
      </c>
      <c r="T30" s="2">
        <v>15</v>
      </c>
      <c r="V30" s="2">
        <v>400</v>
      </c>
      <c r="W30" s="2" t="s">
        <v>73</v>
      </c>
      <c r="X30" s="2">
        <v>16</v>
      </c>
      <c r="Z30" s="2" t="s">
        <v>98</v>
      </c>
      <c r="AC30" s="2" t="s">
        <v>116</v>
      </c>
      <c r="AF30" s="2" t="s">
        <v>94</v>
      </c>
      <c r="AG30" s="2" t="s">
        <v>73</v>
      </c>
      <c r="AH30" s="2" t="s">
        <v>548</v>
      </c>
    </row>
    <row r="31" spans="1:34" x14ac:dyDescent="0.2">
      <c r="A31" s="2">
        <v>32</v>
      </c>
      <c r="B31" s="2" t="s">
        <v>308</v>
      </c>
      <c r="C31" s="2" t="s">
        <v>309</v>
      </c>
      <c r="D31" s="2" t="s">
        <v>121</v>
      </c>
      <c r="E31" s="2" t="s">
        <v>122</v>
      </c>
      <c r="F31" s="2" t="s">
        <v>80</v>
      </c>
      <c r="G31" s="2">
        <v>6</v>
      </c>
      <c r="H31" s="2">
        <v>750</v>
      </c>
      <c r="I31" s="4">
        <v>10.319763395963813</v>
      </c>
      <c r="J31" s="4">
        <v>2.287789965517006</v>
      </c>
      <c r="K31" s="6">
        <v>3</v>
      </c>
      <c r="L31" s="4">
        <v>3.4084529505582144</v>
      </c>
      <c r="M31" s="4">
        <v>0.49248003322279754</v>
      </c>
      <c r="N31" s="2">
        <v>3</v>
      </c>
      <c r="O31" s="2" t="s">
        <v>95</v>
      </c>
      <c r="P31" s="2" t="s">
        <v>34</v>
      </c>
      <c r="R31" s="2" t="s">
        <v>73</v>
      </c>
      <c r="S31" s="2" t="s">
        <v>73</v>
      </c>
      <c r="T31" s="2">
        <v>15</v>
      </c>
      <c r="V31" s="2">
        <v>400</v>
      </c>
      <c r="W31" s="2" t="s">
        <v>73</v>
      </c>
      <c r="X31" s="2">
        <v>16</v>
      </c>
      <c r="Z31" s="2" t="s">
        <v>98</v>
      </c>
      <c r="AC31" s="2" t="s">
        <v>116</v>
      </c>
      <c r="AF31" s="2" t="s">
        <v>94</v>
      </c>
      <c r="AG31" s="2" t="s">
        <v>73</v>
      </c>
      <c r="AH31" s="2" t="s">
        <v>548</v>
      </c>
    </row>
    <row r="32" spans="1:34" x14ac:dyDescent="0.2">
      <c r="A32" s="2">
        <v>33</v>
      </c>
      <c r="B32" s="2" t="s">
        <v>310</v>
      </c>
      <c r="C32" s="2" t="s">
        <v>236</v>
      </c>
      <c r="D32" s="2" t="s">
        <v>121</v>
      </c>
      <c r="E32" s="2" t="s">
        <v>122</v>
      </c>
      <c r="F32" s="2" t="s">
        <v>78</v>
      </c>
      <c r="G32" s="2">
        <v>3</v>
      </c>
      <c r="H32" s="2">
        <v>780</v>
      </c>
      <c r="I32" s="4">
        <v>322.12179487179486</v>
      </c>
      <c r="J32" s="4">
        <v>5.9615384615384599</v>
      </c>
      <c r="K32" s="6">
        <v>3</v>
      </c>
      <c r="L32" s="4">
        <v>238.24074074074079</v>
      </c>
      <c r="M32" s="4">
        <v>8.0370370370370381</v>
      </c>
      <c r="N32" s="2">
        <v>3</v>
      </c>
      <c r="O32" s="2" t="s">
        <v>95</v>
      </c>
      <c r="P32" s="2" t="s">
        <v>34</v>
      </c>
      <c r="R32" s="2" t="s">
        <v>73</v>
      </c>
      <c r="S32" s="2" t="s">
        <v>73</v>
      </c>
      <c r="T32" s="2">
        <v>15</v>
      </c>
      <c r="V32" s="2">
        <v>400</v>
      </c>
      <c r="W32" s="2" t="s">
        <v>73</v>
      </c>
      <c r="X32" s="2">
        <v>16</v>
      </c>
      <c r="Z32" s="2" t="s">
        <v>98</v>
      </c>
      <c r="AC32" s="2" t="s">
        <v>116</v>
      </c>
      <c r="AF32" s="2" t="s">
        <v>94</v>
      </c>
      <c r="AG32" s="2" t="s">
        <v>73</v>
      </c>
      <c r="AH32" s="2" t="s">
        <v>549</v>
      </c>
    </row>
    <row r="33" spans="1:34" x14ac:dyDescent="0.2">
      <c r="A33" s="2">
        <v>34</v>
      </c>
      <c r="B33" s="2" t="s">
        <v>310</v>
      </c>
      <c r="C33" s="2" t="s">
        <v>236</v>
      </c>
      <c r="D33" s="2" t="s">
        <v>121</v>
      </c>
      <c r="E33" s="2" t="s">
        <v>122</v>
      </c>
      <c r="F33" s="2" t="s">
        <v>80</v>
      </c>
      <c r="G33" s="2">
        <v>3</v>
      </c>
      <c r="H33" s="2">
        <v>780</v>
      </c>
      <c r="I33" s="4">
        <v>236.39583333333334</v>
      </c>
      <c r="J33" s="4">
        <v>4.3749999999999991</v>
      </c>
      <c r="K33" s="6">
        <v>3</v>
      </c>
      <c r="L33" s="4">
        <v>6.6781609195402316</v>
      </c>
      <c r="M33" s="4">
        <v>0.26428208999541819</v>
      </c>
      <c r="N33" s="2">
        <v>3</v>
      </c>
      <c r="O33" s="2" t="s">
        <v>95</v>
      </c>
      <c r="P33" s="2" t="s">
        <v>34</v>
      </c>
      <c r="R33" s="2" t="s">
        <v>73</v>
      </c>
      <c r="S33" s="2" t="s">
        <v>73</v>
      </c>
      <c r="T33" s="2">
        <v>15</v>
      </c>
      <c r="V33" s="2">
        <v>400</v>
      </c>
      <c r="W33" s="2" t="s">
        <v>73</v>
      </c>
      <c r="X33" s="2">
        <v>16</v>
      </c>
      <c r="Z33" s="2" t="s">
        <v>98</v>
      </c>
      <c r="AC33" s="2" t="s">
        <v>116</v>
      </c>
      <c r="AF33" s="2" t="s">
        <v>94</v>
      </c>
      <c r="AG33" s="2" t="s">
        <v>73</v>
      </c>
      <c r="AH33" s="2" t="s">
        <v>549</v>
      </c>
    </row>
    <row r="34" spans="1:34" x14ac:dyDescent="0.2">
      <c r="A34" s="2">
        <v>35</v>
      </c>
      <c r="B34" s="2" t="s">
        <v>329</v>
      </c>
      <c r="C34" s="2" t="s">
        <v>330</v>
      </c>
      <c r="D34" s="2" t="s">
        <v>70</v>
      </c>
      <c r="E34" s="2" t="s">
        <v>106</v>
      </c>
      <c r="F34" s="2" t="s">
        <v>80</v>
      </c>
      <c r="G34" s="2">
        <v>6</v>
      </c>
      <c r="H34" s="2">
        <v>50</v>
      </c>
      <c r="I34" s="4">
        <v>8.3066666666666666</v>
      </c>
      <c r="J34" s="4">
        <v>1.1575943925994912</v>
      </c>
      <c r="K34" s="2">
        <v>3</v>
      </c>
      <c r="L34" s="4">
        <v>7.254722222222223</v>
      </c>
      <c r="M34" s="4">
        <v>0.43291089451825165</v>
      </c>
      <c r="N34" s="2">
        <v>3</v>
      </c>
      <c r="O34" s="2" t="s">
        <v>75</v>
      </c>
      <c r="P34" s="2" t="s">
        <v>616</v>
      </c>
      <c r="R34" s="2" t="s">
        <v>73</v>
      </c>
      <c r="S34" s="2" t="s">
        <v>73</v>
      </c>
      <c r="T34" s="2">
        <v>17</v>
      </c>
      <c r="V34" s="2">
        <v>250</v>
      </c>
      <c r="W34" s="2" t="s">
        <v>73</v>
      </c>
      <c r="X34" s="2">
        <v>12</v>
      </c>
      <c r="Y34" s="2">
        <v>35</v>
      </c>
      <c r="Z34" s="2" t="s">
        <v>98</v>
      </c>
      <c r="AB34" s="2" t="s">
        <v>87</v>
      </c>
      <c r="AC34" s="2" t="s">
        <v>116</v>
      </c>
      <c r="AF34" s="2" t="s">
        <v>123</v>
      </c>
      <c r="AG34" s="2" t="s">
        <v>87</v>
      </c>
      <c r="AH34" s="2" t="s">
        <v>331</v>
      </c>
    </row>
    <row r="35" spans="1:34" x14ac:dyDescent="0.2">
      <c r="A35" s="2">
        <v>36</v>
      </c>
      <c r="B35" s="2" t="s">
        <v>329</v>
      </c>
      <c r="C35" s="2" t="s">
        <v>330</v>
      </c>
      <c r="D35" s="2" t="s">
        <v>70</v>
      </c>
      <c r="E35" s="2" t="s">
        <v>106</v>
      </c>
      <c r="F35" s="2" t="s">
        <v>80</v>
      </c>
      <c r="G35" s="2">
        <v>6</v>
      </c>
      <c r="H35" s="2">
        <v>12</v>
      </c>
      <c r="I35" s="4">
        <v>11.86461111111111</v>
      </c>
      <c r="J35" s="4">
        <v>3.4126314884449465</v>
      </c>
      <c r="K35" s="2">
        <v>3</v>
      </c>
      <c r="L35" s="4">
        <v>9.6067222222222224</v>
      </c>
      <c r="M35" s="4">
        <v>2.6166711323387264</v>
      </c>
      <c r="N35" s="2">
        <v>3</v>
      </c>
      <c r="O35" s="2" t="s">
        <v>75</v>
      </c>
      <c r="P35" s="2" t="s">
        <v>616</v>
      </c>
      <c r="R35" s="2" t="s">
        <v>73</v>
      </c>
      <c r="S35" s="2" t="s">
        <v>73</v>
      </c>
      <c r="T35" s="2">
        <v>17</v>
      </c>
      <c r="V35" s="2">
        <v>250</v>
      </c>
      <c r="W35" s="2" t="s">
        <v>73</v>
      </c>
      <c r="X35" s="2">
        <v>12</v>
      </c>
      <c r="Y35" s="2">
        <v>35</v>
      </c>
      <c r="Z35" s="2" t="s">
        <v>98</v>
      </c>
      <c r="AB35" s="2" t="s">
        <v>87</v>
      </c>
      <c r="AC35" s="2" t="s">
        <v>117</v>
      </c>
      <c r="AF35" s="2" t="s">
        <v>133</v>
      </c>
      <c r="AG35" s="2" t="s">
        <v>87</v>
      </c>
      <c r="AH35" s="2" t="s">
        <v>332</v>
      </c>
    </row>
    <row r="36" spans="1:34" x14ac:dyDescent="0.2">
      <c r="A36" s="2">
        <v>41</v>
      </c>
      <c r="B36" s="2" t="s">
        <v>340</v>
      </c>
      <c r="C36" s="2" t="s">
        <v>197</v>
      </c>
      <c r="D36" s="2" t="s">
        <v>84</v>
      </c>
      <c r="E36" s="2" t="s">
        <v>85</v>
      </c>
      <c r="F36" s="2" t="s">
        <v>80</v>
      </c>
      <c r="G36" s="2">
        <v>10</v>
      </c>
      <c r="H36" s="2">
        <v>110</v>
      </c>
      <c r="I36" s="4">
        <v>6.71</v>
      </c>
      <c r="J36" s="4">
        <v>0.6</v>
      </c>
      <c r="K36" s="2">
        <v>8</v>
      </c>
      <c r="L36" s="4">
        <v>5.53</v>
      </c>
      <c r="M36" s="4">
        <v>0.35</v>
      </c>
      <c r="N36" s="2">
        <v>8</v>
      </c>
      <c r="O36" s="2" t="s">
        <v>75</v>
      </c>
      <c r="P36" s="2" t="s">
        <v>616</v>
      </c>
      <c r="R36" s="2" t="s">
        <v>73</v>
      </c>
      <c r="S36" s="2" t="s">
        <v>73</v>
      </c>
      <c r="T36" s="2">
        <v>20</v>
      </c>
      <c r="V36" s="2">
        <v>70</v>
      </c>
      <c r="X36" s="2">
        <v>12</v>
      </c>
      <c r="Z36" s="2" t="s">
        <v>89</v>
      </c>
      <c r="AA36" s="2">
        <v>10</v>
      </c>
      <c r="AC36" s="2" t="s">
        <v>116</v>
      </c>
      <c r="AD36" s="2">
        <v>390</v>
      </c>
      <c r="AF36" s="2" t="s">
        <v>104</v>
      </c>
      <c r="AG36" s="2" t="s">
        <v>73</v>
      </c>
      <c r="AH36" s="2" t="s">
        <v>550</v>
      </c>
    </row>
    <row r="37" spans="1:34" x14ac:dyDescent="0.2">
      <c r="A37" s="2">
        <v>42</v>
      </c>
      <c r="B37" s="2" t="s">
        <v>340</v>
      </c>
      <c r="C37" s="2" t="s">
        <v>197</v>
      </c>
      <c r="D37" s="2" t="s">
        <v>84</v>
      </c>
      <c r="E37" s="2" t="s">
        <v>85</v>
      </c>
      <c r="F37" s="2" t="s">
        <v>80</v>
      </c>
      <c r="G37" s="2">
        <v>10</v>
      </c>
      <c r="H37" s="2">
        <v>110</v>
      </c>
      <c r="I37" s="4">
        <v>8.02</v>
      </c>
      <c r="J37" s="4">
        <v>0.69</v>
      </c>
      <c r="K37" s="2">
        <v>8</v>
      </c>
      <c r="L37" s="4">
        <v>5.26</v>
      </c>
      <c r="M37" s="4">
        <v>0.56000000000000005</v>
      </c>
      <c r="N37" s="2">
        <v>8</v>
      </c>
      <c r="O37" s="2" t="s">
        <v>75</v>
      </c>
      <c r="P37" s="2" t="s">
        <v>616</v>
      </c>
      <c r="R37" s="2" t="s">
        <v>73</v>
      </c>
      <c r="S37" s="2" t="s">
        <v>73</v>
      </c>
      <c r="T37" s="2">
        <v>20</v>
      </c>
      <c r="V37" s="2">
        <v>70</v>
      </c>
      <c r="X37" s="2">
        <v>12</v>
      </c>
      <c r="Z37" s="2" t="s">
        <v>89</v>
      </c>
      <c r="AA37" s="2">
        <v>10</v>
      </c>
      <c r="AC37" s="2" t="s">
        <v>116</v>
      </c>
      <c r="AD37" s="2">
        <v>1000</v>
      </c>
      <c r="AF37" s="2" t="s">
        <v>104</v>
      </c>
      <c r="AG37" s="2" t="s">
        <v>73</v>
      </c>
      <c r="AH37" s="2" t="s">
        <v>551</v>
      </c>
    </row>
    <row r="38" spans="1:34" x14ac:dyDescent="0.2">
      <c r="A38" s="2">
        <v>43</v>
      </c>
      <c r="B38" s="2" t="s">
        <v>345</v>
      </c>
      <c r="C38" s="2" t="s">
        <v>83</v>
      </c>
      <c r="D38" s="2" t="s">
        <v>84</v>
      </c>
      <c r="E38" s="2" t="s">
        <v>85</v>
      </c>
      <c r="F38" s="2" t="s">
        <v>80</v>
      </c>
      <c r="G38" s="2">
        <v>55</v>
      </c>
      <c r="H38" s="2">
        <v>550</v>
      </c>
      <c r="I38" s="4">
        <f>6.25/12*14</f>
        <v>7.291666666666667</v>
      </c>
      <c r="J38" s="4">
        <f>0.2/12*14</f>
        <v>0.23333333333333334</v>
      </c>
      <c r="K38" s="2">
        <v>3</v>
      </c>
      <c r="L38" s="4">
        <f>5.89/12*14</f>
        <v>6.8716666666666661</v>
      </c>
      <c r="M38" s="4">
        <f>0.5/12*14</f>
        <v>0.58333333333333326</v>
      </c>
      <c r="N38" s="2">
        <v>3</v>
      </c>
      <c r="O38" s="2" t="s">
        <v>56</v>
      </c>
      <c r="P38" s="2" t="s">
        <v>34</v>
      </c>
      <c r="R38" s="2" t="s">
        <v>73</v>
      </c>
      <c r="S38" s="2" t="s">
        <v>73</v>
      </c>
      <c r="T38" s="2">
        <v>18</v>
      </c>
      <c r="V38" s="2">
        <v>30</v>
      </c>
      <c r="W38" s="2" t="s">
        <v>87</v>
      </c>
      <c r="X38" s="2">
        <v>24</v>
      </c>
      <c r="Z38" s="2" t="s">
        <v>89</v>
      </c>
      <c r="AA38" s="2">
        <v>9.5</v>
      </c>
      <c r="AC38" s="2" t="s">
        <v>116</v>
      </c>
      <c r="AF38" s="2" t="s">
        <v>142</v>
      </c>
      <c r="AG38" s="2" t="s">
        <v>73</v>
      </c>
      <c r="AH38" s="2" t="s">
        <v>346</v>
      </c>
    </row>
    <row r="39" spans="1:34" x14ac:dyDescent="0.2">
      <c r="A39" s="2">
        <v>44</v>
      </c>
      <c r="B39" s="2" t="s">
        <v>345</v>
      </c>
      <c r="C39" s="2" t="s">
        <v>83</v>
      </c>
      <c r="D39" s="2" t="s">
        <v>84</v>
      </c>
      <c r="E39" s="2" t="s">
        <v>85</v>
      </c>
      <c r="F39" s="2" t="s">
        <v>80</v>
      </c>
      <c r="G39" s="2">
        <v>55</v>
      </c>
      <c r="H39" s="2">
        <v>550</v>
      </c>
      <c r="I39" s="4">
        <f>6.41/12*14</f>
        <v>7.4783333333333335</v>
      </c>
      <c r="J39" s="4">
        <f>0.12/12*14</f>
        <v>0.14000000000000001</v>
      </c>
      <c r="K39" s="2">
        <v>3</v>
      </c>
      <c r="L39" s="4">
        <f>6.42/12*14</f>
        <v>7.49</v>
      </c>
      <c r="M39" s="4">
        <f>0.32/12*14</f>
        <v>0.37333333333333335</v>
      </c>
      <c r="N39" s="2">
        <v>3</v>
      </c>
      <c r="O39" s="2" t="s">
        <v>56</v>
      </c>
      <c r="P39" s="2" t="s">
        <v>34</v>
      </c>
      <c r="R39" s="2" t="s">
        <v>73</v>
      </c>
      <c r="S39" s="2" t="s">
        <v>73</v>
      </c>
      <c r="T39" s="2">
        <v>18</v>
      </c>
      <c r="V39" s="2">
        <v>180</v>
      </c>
      <c r="W39" s="2" t="s">
        <v>87</v>
      </c>
      <c r="X39" s="2">
        <v>24</v>
      </c>
      <c r="Z39" s="2" t="s">
        <v>89</v>
      </c>
      <c r="AA39" s="2">
        <v>9.5</v>
      </c>
      <c r="AC39" s="2" t="s">
        <v>116</v>
      </c>
      <c r="AF39" s="2" t="s">
        <v>142</v>
      </c>
      <c r="AG39" s="2" t="s">
        <v>73</v>
      </c>
      <c r="AH39" s="2" t="s">
        <v>347</v>
      </c>
    </row>
    <row r="40" spans="1:34" x14ac:dyDescent="0.2">
      <c r="A40" s="2">
        <v>45</v>
      </c>
      <c r="B40" s="2" t="s">
        <v>345</v>
      </c>
      <c r="C40" s="2" t="s">
        <v>83</v>
      </c>
      <c r="D40" s="2" t="s">
        <v>84</v>
      </c>
      <c r="E40" s="2" t="s">
        <v>85</v>
      </c>
      <c r="F40" s="2" t="s">
        <v>80</v>
      </c>
      <c r="G40" s="2">
        <v>55</v>
      </c>
      <c r="H40" s="2">
        <v>550</v>
      </c>
      <c r="I40" s="4">
        <f>7.67/12*14</f>
        <v>8.9483333333333341</v>
      </c>
      <c r="J40" s="4">
        <f>0.52/12*14</f>
        <v>0.60666666666666669</v>
      </c>
      <c r="K40" s="2">
        <v>3</v>
      </c>
      <c r="L40" s="4">
        <f>6.34/12*14</f>
        <v>7.3966666666666665</v>
      </c>
      <c r="M40" s="4">
        <f>0.87/12*14</f>
        <v>1.0149999999999999</v>
      </c>
      <c r="N40" s="2">
        <v>3</v>
      </c>
      <c r="O40" s="2" t="s">
        <v>56</v>
      </c>
      <c r="P40" s="2" t="s">
        <v>34</v>
      </c>
      <c r="R40" s="2" t="s">
        <v>73</v>
      </c>
      <c r="S40" s="2" t="s">
        <v>73</v>
      </c>
      <c r="T40" s="2">
        <v>18</v>
      </c>
      <c r="V40" s="2">
        <v>380</v>
      </c>
      <c r="W40" s="2" t="s">
        <v>73</v>
      </c>
      <c r="X40" s="2">
        <v>24</v>
      </c>
      <c r="Z40" s="2" t="s">
        <v>89</v>
      </c>
      <c r="AA40" s="2">
        <v>9.5</v>
      </c>
      <c r="AC40" s="2" t="s">
        <v>116</v>
      </c>
      <c r="AF40" s="2" t="s">
        <v>142</v>
      </c>
      <c r="AG40" s="2" t="s">
        <v>73</v>
      </c>
      <c r="AH40" s="2" t="s">
        <v>348</v>
      </c>
    </row>
    <row r="41" spans="1:34" x14ac:dyDescent="0.2">
      <c r="A41" s="2">
        <v>46</v>
      </c>
      <c r="B41" s="2" t="s">
        <v>350</v>
      </c>
      <c r="C41" s="2" t="s">
        <v>351</v>
      </c>
      <c r="D41" s="2" t="s">
        <v>84</v>
      </c>
      <c r="E41" s="2" t="s">
        <v>85</v>
      </c>
      <c r="F41" s="2" t="s">
        <v>80</v>
      </c>
      <c r="G41" s="2">
        <v>1</v>
      </c>
      <c r="H41" s="2">
        <v>100</v>
      </c>
      <c r="I41" s="4">
        <v>8.4893972282517947</v>
      </c>
      <c r="J41" s="4">
        <v>2.1518720515354586</v>
      </c>
      <c r="K41" s="2">
        <v>3</v>
      </c>
      <c r="L41" s="4">
        <v>5.8319366852886407</v>
      </c>
      <c r="M41" s="4">
        <v>0.26718594864773998</v>
      </c>
      <c r="N41" s="2">
        <v>3</v>
      </c>
      <c r="O41" s="2" t="s">
        <v>75</v>
      </c>
      <c r="R41" s="2" t="s">
        <v>73</v>
      </c>
      <c r="S41" s="2" t="s">
        <v>73</v>
      </c>
      <c r="T41" s="2">
        <v>20</v>
      </c>
      <c r="V41" s="2">
        <v>320</v>
      </c>
      <c r="W41" s="2" t="s">
        <v>73</v>
      </c>
      <c r="X41" s="2">
        <v>12</v>
      </c>
      <c r="Z41" s="2" t="s">
        <v>89</v>
      </c>
      <c r="AA41" s="2">
        <v>12</v>
      </c>
      <c r="AC41" s="2" t="s">
        <v>116</v>
      </c>
      <c r="AF41" s="2" t="s">
        <v>142</v>
      </c>
      <c r="AG41" s="2" t="s">
        <v>73</v>
      </c>
      <c r="AH41" s="2" t="s">
        <v>180</v>
      </c>
    </row>
    <row r="42" spans="1:34" x14ac:dyDescent="0.2">
      <c r="A42" s="2">
        <v>47</v>
      </c>
      <c r="B42" s="2" t="s">
        <v>370</v>
      </c>
      <c r="C42" s="2" t="s">
        <v>236</v>
      </c>
      <c r="D42" s="2" t="s">
        <v>121</v>
      </c>
      <c r="E42" s="2" t="s">
        <v>122</v>
      </c>
      <c r="F42" s="2" t="s">
        <v>78</v>
      </c>
      <c r="G42" s="2">
        <v>25</v>
      </c>
      <c r="H42" s="2">
        <v>150</v>
      </c>
      <c r="I42" s="4">
        <v>172.84834799999999</v>
      </c>
      <c r="J42" s="4">
        <v>13.396950140207597</v>
      </c>
      <c r="K42" s="6">
        <v>4</v>
      </c>
      <c r="L42" s="4">
        <v>101.86529600000001</v>
      </c>
      <c r="M42" s="4">
        <v>13.945308207099895</v>
      </c>
      <c r="N42" s="2">
        <v>4</v>
      </c>
      <c r="O42" s="2" t="s">
        <v>75</v>
      </c>
      <c r="P42" s="2" t="s">
        <v>34</v>
      </c>
      <c r="R42" s="2" t="s">
        <v>73</v>
      </c>
      <c r="S42" s="2" t="s">
        <v>73</v>
      </c>
      <c r="T42" s="2">
        <v>18</v>
      </c>
      <c r="V42" s="2">
        <v>300</v>
      </c>
      <c r="W42" s="2" t="s">
        <v>73</v>
      </c>
      <c r="X42" s="2">
        <v>16</v>
      </c>
      <c r="Z42" s="2" t="s">
        <v>89</v>
      </c>
      <c r="AA42" s="2">
        <v>10</v>
      </c>
      <c r="AC42" s="2" t="s">
        <v>609</v>
      </c>
      <c r="AF42" s="2" t="s">
        <v>189</v>
      </c>
      <c r="AG42" s="2" t="s">
        <v>87</v>
      </c>
      <c r="AH42" s="2" t="s">
        <v>371</v>
      </c>
    </row>
    <row r="43" spans="1:34" x14ac:dyDescent="0.2">
      <c r="A43" s="2">
        <v>48</v>
      </c>
      <c r="B43" s="2" t="s">
        <v>370</v>
      </c>
      <c r="C43" s="2" t="s">
        <v>236</v>
      </c>
      <c r="D43" s="2" t="s">
        <v>121</v>
      </c>
      <c r="E43" s="2" t="s">
        <v>122</v>
      </c>
      <c r="F43" s="2" t="s">
        <v>80</v>
      </c>
      <c r="G43" s="2">
        <v>25</v>
      </c>
      <c r="H43" s="2">
        <v>150</v>
      </c>
      <c r="I43" s="4">
        <v>21.873999999999999</v>
      </c>
      <c r="J43" s="4">
        <v>1.1410000000000018</v>
      </c>
      <c r="K43" s="6">
        <v>4</v>
      </c>
      <c r="L43" s="4">
        <v>5.6680000000000001</v>
      </c>
      <c r="M43" s="4">
        <v>0.51900000000000013</v>
      </c>
      <c r="N43" s="2">
        <v>4</v>
      </c>
      <c r="O43" s="2" t="s">
        <v>75</v>
      </c>
      <c r="P43" s="2" t="s">
        <v>34</v>
      </c>
      <c r="R43" s="2" t="s">
        <v>73</v>
      </c>
      <c r="S43" s="2" t="s">
        <v>73</v>
      </c>
      <c r="T43" s="2">
        <v>18</v>
      </c>
      <c r="V43" s="2">
        <v>300</v>
      </c>
      <c r="W43" s="2" t="s">
        <v>73</v>
      </c>
      <c r="X43" s="2">
        <v>16</v>
      </c>
      <c r="Z43" s="2" t="s">
        <v>89</v>
      </c>
      <c r="AA43" s="2">
        <v>10</v>
      </c>
      <c r="AC43" s="2" t="s">
        <v>609</v>
      </c>
      <c r="AF43" s="2" t="s">
        <v>189</v>
      </c>
      <c r="AG43" s="2" t="s">
        <v>87</v>
      </c>
      <c r="AH43" s="2" t="s">
        <v>371</v>
      </c>
    </row>
    <row r="44" spans="1:34" x14ac:dyDescent="0.2">
      <c r="A44" s="2">
        <v>49</v>
      </c>
      <c r="B44" s="2" t="s">
        <v>377</v>
      </c>
      <c r="C44" s="2" t="s">
        <v>378</v>
      </c>
      <c r="D44" s="2" t="s">
        <v>92</v>
      </c>
      <c r="E44" s="2" t="s">
        <v>93</v>
      </c>
      <c r="F44" s="2" t="s">
        <v>80</v>
      </c>
      <c r="G44" s="2">
        <v>10</v>
      </c>
      <c r="H44" s="2">
        <v>110</v>
      </c>
      <c r="I44" s="4">
        <v>9.81</v>
      </c>
      <c r="J44" s="4">
        <v>0.95</v>
      </c>
      <c r="K44" s="2">
        <v>3</v>
      </c>
      <c r="L44" s="4">
        <v>13.18</v>
      </c>
      <c r="M44" s="4">
        <v>1.2</v>
      </c>
      <c r="N44" s="2">
        <v>3</v>
      </c>
      <c r="O44" s="2" t="s">
        <v>75</v>
      </c>
      <c r="R44" s="2" t="s">
        <v>73</v>
      </c>
      <c r="S44" s="2" t="s">
        <v>73</v>
      </c>
      <c r="T44" s="2">
        <v>25</v>
      </c>
      <c r="V44" s="2">
        <v>40</v>
      </c>
      <c r="W44" s="2" t="s">
        <v>73</v>
      </c>
      <c r="X44" s="2">
        <v>12</v>
      </c>
      <c r="Z44" s="2" t="s">
        <v>89</v>
      </c>
      <c r="AC44" s="2" t="s">
        <v>116</v>
      </c>
      <c r="AD44" s="2">
        <v>380</v>
      </c>
      <c r="AF44" s="2" t="s">
        <v>142</v>
      </c>
      <c r="AG44" s="2" t="s">
        <v>73</v>
      </c>
      <c r="AH44" s="2" t="s">
        <v>379</v>
      </c>
    </row>
    <row r="45" spans="1:34" x14ac:dyDescent="0.2">
      <c r="A45" s="2">
        <v>50</v>
      </c>
      <c r="B45" s="2" t="s">
        <v>377</v>
      </c>
      <c r="C45" s="2" t="s">
        <v>378</v>
      </c>
      <c r="D45" s="2" t="s">
        <v>92</v>
      </c>
      <c r="E45" s="2" t="s">
        <v>93</v>
      </c>
      <c r="F45" s="2" t="s">
        <v>80</v>
      </c>
      <c r="G45" s="2">
        <v>10</v>
      </c>
      <c r="H45" s="2">
        <v>110</v>
      </c>
      <c r="I45" s="4">
        <v>7.5</v>
      </c>
      <c r="J45" s="4">
        <v>1</v>
      </c>
      <c r="K45" s="2">
        <v>3</v>
      </c>
      <c r="L45" s="4">
        <v>11.33</v>
      </c>
      <c r="M45" s="4">
        <v>1.02</v>
      </c>
      <c r="N45" s="2">
        <v>3</v>
      </c>
      <c r="O45" s="2" t="s">
        <v>75</v>
      </c>
      <c r="R45" s="2" t="s">
        <v>73</v>
      </c>
      <c r="S45" s="2" t="s">
        <v>73</v>
      </c>
      <c r="T45" s="2">
        <v>25</v>
      </c>
      <c r="V45" s="2">
        <v>40</v>
      </c>
      <c r="W45" s="2" t="s">
        <v>73</v>
      </c>
      <c r="X45" s="2">
        <v>12</v>
      </c>
      <c r="Z45" s="2" t="s">
        <v>89</v>
      </c>
      <c r="AC45" s="2" t="s">
        <v>116</v>
      </c>
      <c r="AD45" s="2">
        <v>1000</v>
      </c>
      <c r="AF45" s="2" t="s">
        <v>142</v>
      </c>
      <c r="AG45" s="2" t="s">
        <v>73</v>
      </c>
      <c r="AH45" s="2" t="s">
        <v>380</v>
      </c>
    </row>
    <row r="46" spans="1:34" x14ac:dyDescent="0.2">
      <c r="A46" s="2">
        <v>56</v>
      </c>
      <c r="B46" s="2" t="s">
        <v>423</v>
      </c>
      <c r="C46" s="2" t="s">
        <v>236</v>
      </c>
      <c r="D46" s="2" t="s">
        <v>121</v>
      </c>
      <c r="E46" s="2" t="s">
        <v>122</v>
      </c>
      <c r="F46" s="2" t="s">
        <v>78</v>
      </c>
      <c r="G46" s="2">
        <v>2.5</v>
      </c>
      <c r="H46" s="2">
        <v>100</v>
      </c>
      <c r="I46" s="4">
        <v>226</v>
      </c>
      <c r="J46" s="4">
        <v>3.38</v>
      </c>
      <c r="K46" s="6">
        <v>6</v>
      </c>
      <c r="L46" s="4">
        <v>158</v>
      </c>
      <c r="M46" s="4">
        <v>2.5099999999999998</v>
      </c>
      <c r="N46" s="2">
        <v>6</v>
      </c>
      <c r="O46" s="2" t="s">
        <v>95</v>
      </c>
      <c r="P46" s="2" t="s">
        <v>616</v>
      </c>
      <c r="R46" s="2" t="s">
        <v>73</v>
      </c>
      <c r="S46" s="2" t="s">
        <v>73</v>
      </c>
      <c r="T46" s="2">
        <v>20</v>
      </c>
      <c r="V46" s="2">
        <v>30</v>
      </c>
      <c r="W46" s="2" t="s">
        <v>87</v>
      </c>
      <c r="X46" s="2">
        <v>12</v>
      </c>
      <c r="Y46" s="2">
        <v>34.700000000000003</v>
      </c>
      <c r="Z46" s="2" t="s">
        <v>98</v>
      </c>
      <c r="AC46" s="2" t="s">
        <v>116</v>
      </c>
      <c r="AF46" s="2" t="s">
        <v>104</v>
      </c>
      <c r="AG46" s="2" t="s">
        <v>73</v>
      </c>
      <c r="AH46" s="2" t="s">
        <v>424</v>
      </c>
    </row>
    <row r="47" spans="1:34" x14ac:dyDescent="0.2">
      <c r="A47" s="2">
        <v>57</v>
      </c>
      <c r="B47" s="2" t="s">
        <v>423</v>
      </c>
      <c r="C47" s="2" t="s">
        <v>236</v>
      </c>
      <c r="D47" s="2" t="s">
        <v>121</v>
      </c>
      <c r="E47" s="2" t="s">
        <v>122</v>
      </c>
      <c r="F47" s="2" t="s">
        <v>80</v>
      </c>
      <c r="G47" s="2">
        <v>2.5</v>
      </c>
      <c r="H47" s="2">
        <v>100</v>
      </c>
      <c r="I47" s="4">
        <v>14.35</v>
      </c>
      <c r="J47" s="4">
        <v>0.37</v>
      </c>
      <c r="K47" s="6">
        <v>6</v>
      </c>
      <c r="L47" s="4">
        <v>6.46</v>
      </c>
      <c r="M47" s="4">
        <v>0.28000000000000003</v>
      </c>
      <c r="N47" s="2">
        <v>6</v>
      </c>
      <c r="O47" s="2" t="s">
        <v>95</v>
      </c>
      <c r="P47" s="2" t="s">
        <v>616</v>
      </c>
      <c r="R47" s="2" t="s">
        <v>73</v>
      </c>
      <c r="S47" s="2" t="s">
        <v>73</v>
      </c>
      <c r="T47" s="2">
        <v>20</v>
      </c>
      <c r="V47" s="2">
        <v>30</v>
      </c>
      <c r="W47" s="2" t="s">
        <v>87</v>
      </c>
      <c r="X47" s="2">
        <v>12</v>
      </c>
      <c r="Y47" s="2">
        <v>34.700000000000003</v>
      </c>
      <c r="Z47" s="2" t="s">
        <v>98</v>
      </c>
      <c r="AC47" s="2" t="s">
        <v>116</v>
      </c>
      <c r="AF47" s="2" t="s">
        <v>104</v>
      </c>
      <c r="AG47" s="2" t="s">
        <v>73</v>
      </c>
      <c r="AH47" s="2" t="s">
        <v>424</v>
      </c>
    </row>
    <row r="48" spans="1:34" x14ac:dyDescent="0.2">
      <c r="A48" s="2">
        <v>58</v>
      </c>
      <c r="B48" s="2" t="s">
        <v>423</v>
      </c>
      <c r="C48" s="2" t="s">
        <v>236</v>
      </c>
      <c r="D48" s="2" t="s">
        <v>121</v>
      </c>
      <c r="E48" s="2" t="s">
        <v>122</v>
      </c>
      <c r="F48" s="2" t="s">
        <v>78</v>
      </c>
      <c r="G48" s="2">
        <v>2.5</v>
      </c>
      <c r="H48" s="2">
        <v>100</v>
      </c>
      <c r="I48" s="4">
        <v>600</v>
      </c>
      <c r="J48" s="4">
        <v>16.7</v>
      </c>
      <c r="K48" s="6">
        <v>6</v>
      </c>
      <c r="L48" s="4">
        <v>173</v>
      </c>
      <c r="M48" s="4">
        <v>14</v>
      </c>
      <c r="N48" s="2">
        <v>6</v>
      </c>
      <c r="O48" s="2" t="s">
        <v>95</v>
      </c>
      <c r="P48" s="2" t="s">
        <v>616</v>
      </c>
      <c r="R48" s="2" t="s">
        <v>73</v>
      </c>
      <c r="S48" s="2" t="s">
        <v>73</v>
      </c>
      <c r="T48" s="2">
        <v>20</v>
      </c>
      <c r="V48" s="2">
        <v>140</v>
      </c>
      <c r="W48" s="2" t="s">
        <v>73</v>
      </c>
      <c r="X48" s="2">
        <v>12</v>
      </c>
      <c r="Y48" s="2">
        <v>34.700000000000003</v>
      </c>
      <c r="Z48" s="2" t="s">
        <v>98</v>
      </c>
      <c r="AC48" s="2" t="s">
        <v>116</v>
      </c>
      <c r="AF48" s="2" t="s">
        <v>104</v>
      </c>
      <c r="AG48" s="2" t="s">
        <v>73</v>
      </c>
      <c r="AH48" s="2" t="s">
        <v>425</v>
      </c>
    </row>
    <row r="49" spans="1:34" x14ac:dyDescent="0.2">
      <c r="A49" s="2">
        <v>59</v>
      </c>
      <c r="B49" s="2" t="s">
        <v>423</v>
      </c>
      <c r="C49" s="2" t="s">
        <v>236</v>
      </c>
      <c r="D49" s="2" t="s">
        <v>121</v>
      </c>
      <c r="E49" s="2" t="s">
        <v>122</v>
      </c>
      <c r="F49" s="2" t="s">
        <v>80</v>
      </c>
      <c r="G49" s="2">
        <v>2.5</v>
      </c>
      <c r="H49" s="2">
        <v>100</v>
      </c>
      <c r="I49" s="4">
        <v>45.59</v>
      </c>
      <c r="J49" s="4">
        <v>4.12</v>
      </c>
      <c r="K49" s="6">
        <v>6</v>
      </c>
      <c r="L49" s="4">
        <v>8.7200000000000006</v>
      </c>
      <c r="M49" s="4">
        <v>1.45</v>
      </c>
      <c r="N49" s="2">
        <v>6</v>
      </c>
      <c r="O49" s="2" t="s">
        <v>95</v>
      </c>
      <c r="P49" s="2" t="s">
        <v>616</v>
      </c>
      <c r="R49" s="2" t="s">
        <v>73</v>
      </c>
      <c r="S49" s="2" t="s">
        <v>73</v>
      </c>
      <c r="T49" s="2">
        <v>20</v>
      </c>
      <c r="V49" s="2">
        <v>140</v>
      </c>
      <c r="W49" s="2" t="s">
        <v>73</v>
      </c>
      <c r="X49" s="2">
        <v>12</v>
      </c>
      <c r="Y49" s="2">
        <v>34.700000000000003</v>
      </c>
      <c r="Z49" s="2" t="s">
        <v>98</v>
      </c>
      <c r="AC49" s="2" t="s">
        <v>116</v>
      </c>
      <c r="AF49" s="2" t="s">
        <v>104</v>
      </c>
      <c r="AG49" s="2" t="s">
        <v>73</v>
      </c>
      <c r="AH49" s="2" t="s">
        <v>425</v>
      </c>
    </row>
    <row r="50" spans="1:34" x14ac:dyDescent="0.2">
      <c r="A50" s="2">
        <v>60</v>
      </c>
      <c r="B50" s="2" t="s">
        <v>427</v>
      </c>
      <c r="C50" s="2" t="s">
        <v>428</v>
      </c>
      <c r="D50" s="2" t="s">
        <v>105</v>
      </c>
      <c r="E50" s="2" t="s">
        <v>106</v>
      </c>
      <c r="F50" s="2" t="s">
        <v>78</v>
      </c>
      <c r="G50" s="2">
        <v>52.8</v>
      </c>
      <c r="H50" s="4">
        <v>883</v>
      </c>
      <c r="I50" s="4">
        <v>352.36</v>
      </c>
      <c r="J50" s="4">
        <f>14.314*SQRT(3)</f>
        <v>24.792575259540907</v>
      </c>
      <c r="K50" s="2">
        <v>3</v>
      </c>
      <c r="L50" s="4">
        <v>414.36099999999999</v>
      </c>
      <c r="M50" s="4">
        <f>45.213*SQRT(3)</f>
        <v>78.311213162611651</v>
      </c>
      <c r="N50" s="2">
        <v>3</v>
      </c>
      <c r="O50" s="2" t="s">
        <v>95</v>
      </c>
      <c r="R50" s="2" t="s">
        <v>73</v>
      </c>
      <c r="S50" s="2" t="s">
        <v>73</v>
      </c>
      <c r="T50" s="2">
        <v>18</v>
      </c>
      <c r="V50" s="2">
        <v>120</v>
      </c>
      <c r="W50" s="2" t="s">
        <v>73</v>
      </c>
      <c r="X50" s="2">
        <v>12</v>
      </c>
      <c r="Z50" s="2" t="s">
        <v>98</v>
      </c>
      <c r="AC50" s="2" t="s">
        <v>116</v>
      </c>
      <c r="AF50" s="2" t="s">
        <v>138</v>
      </c>
      <c r="AG50" s="2" t="s">
        <v>87</v>
      </c>
      <c r="AH50" s="2" t="s">
        <v>430</v>
      </c>
    </row>
    <row r="51" spans="1:34" x14ac:dyDescent="0.2">
      <c r="A51" s="2">
        <v>61</v>
      </c>
      <c r="B51" s="2" t="s">
        <v>427</v>
      </c>
      <c r="C51" s="2" t="s">
        <v>428</v>
      </c>
      <c r="D51" s="2" t="s">
        <v>105</v>
      </c>
      <c r="E51" s="2" t="s">
        <v>106</v>
      </c>
      <c r="F51" s="2" t="s">
        <v>80</v>
      </c>
      <c r="G51" s="2">
        <v>52.8</v>
      </c>
      <c r="H51" s="4">
        <v>883</v>
      </c>
      <c r="I51" s="4">
        <v>19.98</v>
      </c>
      <c r="J51" s="4">
        <f>1.626*SQRT(3)</f>
        <v>2.8163146131069943</v>
      </c>
      <c r="K51" s="2">
        <v>3</v>
      </c>
      <c r="L51" s="4">
        <v>8.2050000000000001</v>
      </c>
      <c r="M51" s="4">
        <f>1.405*SQRT(3)</f>
        <v>2.4335313846342723</v>
      </c>
      <c r="N51" s="2">
        <v>3</v>
      </c>
      <c r="O51" s="2" t="s">
        <v>95</v>
      </c>
      <c r="R51" s="2" t="s">
        <v>73</v>
      </c>
      <c r="S51" s="2" t="s">
        <v>73</v>
      </c>
      <c r="T51" s="2">
        <v>18</v>
      </c>
      <c r="V51" s="2">
        <v>120</v>
      </c>
      <c r="W51" s="2" t="s">
        <v>73</v>
      </c>
      <c r="X51" s="2">
        <v>12</v>
      </c>
      <c r="Z51" s="2" t="s">
        <v>98</v>
      </c>
      <c r="AC51" s="2" t="s">
        <v>116</v>
      </c>
      <c r="AF51" s="2" t="s">
        <v>138</v>
      </c>
      <c r="AG51" s="2" t="s">
        <v>87</v>
      </c>
      <c r="AH51" s="2" t="s">
        <v>430</v>
      </c>
    </row>
    <row r="52" spans="1:34" x14ac:dyDescent="0.2">
      <c r="A52" s="2">
        <v>62</v>
      </c>
      <c r="B52" s="2" t="s">
        <v>427</v>
      </c>
      <c r="C52" s="2" t="s">
        <v>431</v>
      </c>
      <c r="D52" s="2" t="s">
        <v>135</v>
      </c>
      <c r="E52" s="2" t="s">
        <v>106</v>
      </c>
      <c r="F52" s="2" t="s">
        <v>78</v>
      </c>
      <c r="G52" s="2">
        <v>52.8</v>
      </c>
      <c r="H52" s="4">
        <v>883</v>
      </c>
      <c r="I52" s="4">
        <v>58.557000000000002</v>
      </c>
      <c r="J52" s="4">
        <f>16.304*SQRT(3)</f>
        <v>28.239356366602973</v>
      </c>
      <c r="K52" s="2">
        <v>3</v>
      </c>
      <c r="L52" s="4">
        <v>46.386000000000003</v>
      </c>
      <c r="M52" s="4">
        <f>15.36*SQRT(3)</f>
        <v>26.604300404257952</v>
      </c>
      <c r="N52" s="2">
        <v>3</v>
      </c>
      <c r="O52" s="2" t="s">
        <v>95</v>
      </c>
      <c r="R52" s="2" t="s">
        <v>73</v>
      </c>
      <c r="S52" s="2" t="s">
        <v>73</v>
      </c>
      <c r="T52" s="2">
        <v>18</v>
      </c>
      <c r="V52" s="2">
        <v>30</v>
      </c>
      <c r="W52" s="2" t="s">
        <v>87</v>
      </c>
      <c r="X52" s="2">
        <v>12</v>
      </c>
      <c r="Z52" s="2" t="s">
        <v>98</v>
      </c>
      <c r="AC52" s="2" t="s">
        <v>116</v>
      </c>
      <c r="AF52" s="2" t="s">
        <v>138</v>
      </c>
      <c r="AG52" s="2" t="s">
        <v>87</v>
      </c>
      <c r="AH52" s="2" t="s">
        <v>429</v>
      </c>
    </row>
    <row r="53" spans="1:34" x14ac:dyDescent="0.2">
      <c r="A53" s="2">
        <v>63</v>
      </c>
      <c r="B53" s="2" t="s">
        <v>427</v>
      </c>
      <c r="C53" s="2" t="s">
        <v>431</v>
      </c>
      <c r="D53" s="2" t="s">
        <v>135</v>
      </c>
      <c r="E53" s="2" t="s">
        <v>106</v>
      </c>
      <c r="F53" s="2" t="s">
        <v>80</v>
      </c>
      <c r="G53" s="2">
        <v>52.8</v>
      </c>
      <c r="H53" s="4">
        <v>883</v>
      </c>
      <c r="I53" s="4">
        <v>7.58</v>
      </c>
      <c r="J53" s="4">
        <f>1.524*SQRT(3)</f>
        <v>2.6396454307349688</v>
      </c>
      <c r="K53" s="2">
        <v>3</v>
      </c>
      <c r="L53" s="4">
        <v>7.2469999999999999</v>
      </c>
      <c r="M53" s="4">
        <f>1.057*SQRT(3)</f>
        <v>1.830777703600303</v>
      </c>
      <c r="N53" s="2">
        <v>3</v>
      </c>
      <c r="O53" s="2" t="s">
        <v>95</v>
      </c>
      <c r="R53" s="2" t="s">
        <v>73</v>
      </c>
      <c r="S53" s="2" t="s">
        <v>73</v>
      </c>
      <c r="T53" s="2">
        <v>18</v>
      </c>
      <c r="V53" s="2">
        <v>30</v>
      </c>
      <c r="W53" s="2" t="s">
        <v>87</v>
      </c>
      <c r="X53" s="2">
        <v>12</v>
      </c>
      <c r="Z53" s="2" t="s">
        <v>98</v>
      </c>
      <c r="AC53" s="2" t="s">
        <v>116</v>
      </c>
      <c r="AF53" s="2" t="s">
        <v>138</v>
      </c>
      <c r="AG53" s="2" t="s">
        <v>87</v>
      </c>
      <c r="AH53" s="2" t="s">
        <v>429</v>
      </c>
    </row>
    <row r="54" spans="1:34" x14ac:dyDescent="0.2">
      <c r="A54" s="2">
        <v>64</v>
      </c>
      <c r="B54" s="2" t="s">
        <v>427</v>
      </c>
      <c r="C54" s="2" t="s">
        <v>431</v>
      </c>
      <c r="D54" s="2" t="s">
        <v>135</v>
      </c>
      <c r="E54" s="2" t="s">
        <v>106</v>
      </c>
      <c r="F54" s="2" t="s">
        <v>78</v>
      </c>
      <c r="G54" s="2">
        <v>52.8</v>
      </c>
      <c r="H54" s="4">
        <v>883</v>
      </c>
      <c r="I54" s="4">
        <v>83.561000000000007</v>
      </c>
      <c r="J54" s="4">
        <f>21.968*SQRT(3)</f>
        <v>38.049692140673095</v>
      </c>
      <c r="K54" s="2">
        <v>3</v>
      </c>
      <c r="L54" s="4">
        <v>485.49700000000001</v>
      </c>
      <c r="M54" s="4">
        <f>49.2689999999999*SQRT(3)</f>
        <v>85.336411238110841</v>
      </c>
      <c r="N54" s="2">
        <v>3</v>
      </c>
      <c r="O54" s="2" t="s">
        <v>95</v>
      </c>
      <c r="R54" s="2" t="s">
        <v>73</v>
      </c>
      <c r="S54" s="2" t="s">
        <v>73</v>
      </c>
      <c r="T54" s="2">
        <v>18</v>
      </c>
      <c r="V54" s="2">
        <v>120</v>
      </c>
      <c r="W54" s="2" t="s">
        <v>73</v>
      </c>
      <c r="X54" s="2">
        <v>12</v>
      </c>
      <c r="Z54" s="2" t="s">
        <v>98</v>
      </c>
      <c r="AC54" s="2" t="s">
        <v>116</v>
      </c>
      <c r="AF54" s="2" t="s">
        <v>138</v>
      </c>
      <c r="AG54" s="2" t="s">
        <v>87</v>
      </c>
      <c r="AH54" s="2" t="s">
        <v>430</v>
      </c>
    </row>
    <row r="55" spans="1:34" x14ac:dyDescent="0.2">
      <c r="A55" s="2">
        <v>65</v>
      </c>
      <c r="B55" s="2" t="s">
        <v>427</v>
      </c>
      <c r="C55" s="2" t="s">
        <v>431</v>
      </c>
      <c r="D55" s="2" t="s">
        <v>135</v>
      </c>
      <c r="E55" s="2" t="s">
        <v>106</v>
      </c>
      <c r="F55" s="2" t="s">
        <v>80</v>
      </c>
      <c r="G55" s="2">
        <v>52.8</v>
      </c>
      <c r="H55" s="4">
        <v>883</v>
      </c>
      <c r="I55" s="4">
        <v>35.401000000000003</v>
      </c>
      <c r="J55" s="4">
        <f>1.175*SQRT(3)</f>
        <v>2.0351596988934308</v>
      </c>
      <c r="K55" s="2">
        <v>3</v>
      </c>
      <c r="L55" s="4">
        <v>11.032</v>
      </c>
      <c r="M55" s="4">
        <f>1.313*SQRT(3)</f>
        <v>2.2741827103379357</v>
      </c>
      <c r="N55" s="2">
        <v>3</v>
      </c>
      <c r="O55" s="2" t="s">
        <v>95</v>
      </c>
      <c r="R55" s="2" t="s">
        <v>73</v>
      </c>
      <c r="S55" s="2" t="s">
        <v>73</v>
      </c>
      <c r="T55" s="2">
        <v>18</v>
      </c>
      <c r="V55" s="2">
        <v>120</v>
      </c>
      <c r="W55" s="2" t="s">
        <v>73</v>
      </c>
      <c r="X55" s="2">
        <v>12</v>
      </c>
      <c r="Z55" s="2" t="s">
        <v>98</v>
      </c>
      <c r="AC55" s="2" t="s">
        <v>116</v>
      </c>
      <c r="AF55" s="2" t="s">
        <v>138</v>
      </c>
      <c r="AG55" s="2" t="s">
        <v>87</v>
      </c>
      <c r="AH55" s="2" t="s">
        <v>430</v>
      </c>
    </row>
    <row r="56" spans="1:34" x14ac:dyDescent="0.2">
      <c r="A56" s="2">
        <v>66</v>
      </c>
      <c r="B56" s="2" t="s">
        <v>427</v>
      </c>
      <c r="C56" s="2" t="s">
        <v>227</v>
      </c>
      <c r="D56" s="2" t="s">
        <v>84</v>
      </c>
      <c r="E56" s="2" t="s">
        <v>85</v>
      </c>
      <c r="F56" s="2" t="s">
        <v>78</v>
      </c>
      <c r="G56" s="2">
        <v>52.8</v>
      </c>
      <c r="H56" s="4">
        <v>883</v>
      </c>
      <c r="I56" s="4">
        <v>99.915999999999997</v>
      </c>
      <c r="J56" s="4">
        <f>17.223*SQRT(3)</f>
        <v>29.831111058758768</v>
      </c>
      <c r="K56" s="2">
        <v>3</v>
      </c>
      <c r="L56" s="4">
        <v>78.228999999999999</v>
      </c>
      <c r="M56" s="4">
        <f>15.283*SQRT(3)</f>
        <v>26.47093249207515</v>
      </c>
      <c r="N56" s="2">
        <v>3</v>
      </c>
      <c r="O56" s="2" t="s">
        <v>95</v>
      </c>
      <c r="R56" s="2" t="s">
        <v>73</v>
      </c>
      <c r="S56" s="2" t="s">
        <v>73</v>
      </c>
      <c r="T56" s="2">
        <v>18</v>
      </c>
      <c r="V56" s="2">
        <v>30</v>
      </c>
      <c r="W56" s="2" t="s">
        <v>87</v>
      </c>
      <c r="X56" s="2">
        <v>12</v>
      </c>
      <c r="Z56" s="2" t="s">
        <v>98</v>
      </c>
      <c r="AC56" s="2" t="s">
        <v>116</v>
      </c>
      <c r="AF56" s="2" t="s">
        <v>138</v>
      </c>
      <c r="AG56" s="2" t="s">
        <v>87</v>
      </c>
      <c r="AH56" s="2" t="s">
        <v>429</v>
      </c>
    </row>
    <row r="57" spans="1:34" x14ac:dyDescent="0.2">
      <c r="A57" s="2">
        <v>67</v>
      </c>
      <c r="B57" s="2" t="s">
        <v>427</v>
      </c>
      <c r="C57" s="2" t="s">
        <v>227</v>
      </c>
      <c r="D57" s="2" t="s">
        <v>84</v>
      </c>
      <c r="E57" s="2" t="s">
        <v>85</v>
      </c>
      <c r="F57" s="2" t="s">
        <v>80</v>
      </c>
      <c r="G57" s="2">
        <v>52.8</v>
      </c>
      <c r="H57" s="4">
        <v>883</v>
      </c>
      <c r="I57" s="4">
        <v>8.4659999999999993</v>
      </c>
      <c r="J57" s="4">
        <f>1.055*SQRT(3)</f>
        <v>1.8273136019851652</v>
      </c>
      <c r="K57" s="2">
        <v>3</v>
      </c>
      <c r="L57" s="4">
        <v>8.2669999999999995</v>
      </c>
      <c r="M57" s="4">
        <f>0.881*SQRT(3)</f>
        <v>1.5259367614681809</v>
      </c>
      <c r="N57" s="2">
        <v>3</v>
      </c>
      <c r="O57" s="2" t="s">
        <v>95</v>
      </c>
      <c r="R57" s="2" t="s">
        <v>73</v>
      </c>
      <c r="S57" s="2" t="s">
        <v>73</v>
      </c>
      <c r="T57" s="2">
        <v>18</v>
      </c>
      <c r="V57" s="2">
        <v>30</v>
      </c>
      <c r="W57" s="2" t="s">
        <v>87</v>
      </c>
      <c r="X57" s="2">
        <v>12</v>
      </c>
      <c r="Z57" s="2" t="s">
        <v>98</v>
      </c>
      <c r="AC57" s="2" t="s">
        <v>116</v>
      </c>
      <c r="AF57" s="2" t="s">
        <v>138</v>
      </c>
      <c r="AG57" s="2" t="s">
        <v>87</v>
      </c>
      <c r="AH57" s="2" t="s">
        <v>429</v>
      </c>
    </row>
    <row r="58" spans="1:34" x14ac:dyDescent="0.2">
      <c r="A58" s="2">
        <v>68</v>
      </c>
      <c r="B58" s="2" t="s">
        <v>427</v>
      </c>
      <c r="C58" s="2" t="s">
        <v>227</v>
      </c>
      <c r="D58" s="2" t="s">
        <v>84</v>
      </c>
      <c r="E58" s="2" t="s">
        <v>85</v>
      </c>
      <c r="F58" s="2" t="s">
        <v>78</v>
      </c>
      <c r="G58" s="2">
        <v>52.8</v>
      </c>
      <c r="H58" s="4">
        <v>883</v>
      </c>
      <c r="I58" s="4">
        <v>136.19800000000001</v>
      </c>
      <c r="J58" s="4">
        <f>18.396*SQRT(3)</f>
        <v>31.862806656037066</v>
      </c>
      <c r="K58" s="2">
        <v>3</v>
      </c>
      <c r="L58" s="4">
        <v>258.08300000000003</v>
      </c>
      <c r="M58" s="4">
        <f>22.274*SQRT(3)</f>
        <v>38.579699687789173</v>
      </c>
      <c r="N58" s="2">
        <v>3</v>
      </c>
      <c r="O58" s="2" t="s">
        <v>95</v>
      </c>
      <c r="R58" s="2" t="s">
        <v>73</v>
      </c>
      <c r="S58" s="2" t="s">
        <v>73</v>
      </c>
      <c r="T58" s="2">
        <v>18</v>
      </c>
      <c r="V58" s="2">
        <v>120</v>
      </c>
      <c r="W58" s="2" t="s">
        <v>73</v>
      </c>
      <c r="X58" s="2">
        <v>12</v>
      </c>
      <c r="Z58" s="2" t="s">
        <v>98</v>
      </c>
      <c r="AC58" s="2" t="s">
        <v>116</v>
      </c>
      <c r="AF58" s="2" t="s">
        <v>138</v>
      </c>
      <c r="AG58" s="2" t="s">
        <v>87</v>
      </c>
      <c r="AH58" s="2" t="s">
        <v>430</v>
      </c>
    </row>
    <row r="59" spans="1:34" x14ac:dyDescent="0.2">
      <c r="A59" s="2">
        <v>69</v>
      </c>
      <c r="B59" s="2" t="s">
        <v>427</v>
      </c>
      <c r="C59" s="2" t="s">
        <v>227</v>
      </c>
      <c r="D59" s="2" t="s">
        <v>84</v>
      </c>
      <c r="E59" s="2" t="s">
        <v>85</v>
      </c>
      <c r="F59" s="2" t="s">
        <v>80</v>
      </c>
      <c r="G59" s="2">
        <v>52.8</v>
      </c>
      <c r="H59" s="4">
        <v>883</v>
      </c>
      <c r="I59" s="4">
        <v>35.476999999999997</v>
      </c>
      <c r="J59" s="4">
        <f>2.456*SQRT(3)</f>
        <v>4.2539167833891627</v>
      </c>
      <c r="K59" s="2">
        <v>3</v>
      </c>
      <c r="L59" s="4">
        <v>11.018000000000001</v>
      </c>
      <c r="M59" s="4">
        <f>1.748*SQRT(3)</f>
        <v>3.0276248116303974</v>
      </c>
      <c r="N59" s="2">
        <v>3</v>
      </c>
      <c r="O59" s="2" t="s">
        <v>95</v>
      </c>
      <c r="R59" s="2" t="s">
        <v>73</v>
      </c>
      <c r="S59" s="2" t="s">
        <v>73</v>
      </c>
      <c r="T59" s="2">
        <v>18</v>
      </c>
      <c r="V59" s="2">
        <v>120</v>
      </c>
      <c r="W59" s="2" t="s">
        <v>73</v>
      </c>
      <c r="X59" s="2">
        <v>12</v>
      </c>
      <c r="Z59" s="2" t="s">
        <v>98</v>
      </c>
      <c r="AC59" s="2" t="s">
        <v>116</v>
      </c>
      <c r="AF59" s="2" t="s">
        <v>138</v>
      </c>
      <c r="AG59" s="2" t="s">
        <v>87</v>
      </c>
      <c r="AH59" s="2" t="s">
        <v>430</v>
      </c>
    </row>
    <row r="60" spans="1:34" x14ac:dyDescent="0.2">
      <c r="A60" s="2">
        <v>70</v>
      </c>
      <c r="B60" s="2" t="s">
        <v>427</v>
      </c>
      <c r="C60" s="2" t="s">
        <v>432</v>
      </c>
      <c r="D60" s="2" t="s">
        <v>84</v>
      </c>
      <c r="E60" s="2" t="s">
        <v>85</v>
      </c>
      <c r="F60" s="2" t="s">
        <v>78</v>
      </c>
      <c r="G60" s="2">
        <v>52.8</v>
      </c>
      <c r="H60" s="4">
        <v>883</v>
      </c>
      <c r="I60" s="4">
        <v>252.98</v>
      </c>
      <c r="J60" s="4">
        <f>31.306*SQRT(3)</f>
        <v>54.223582581751273</v>
      </c>
      <c r="K60" s="2">
        <v>3</v>
      </c>
      <c r="L60" s="4">
        <v>193.14699999999999</v>
      </c>
      <c r="M60" s="4">
        <f>21.637*SQRT(3)</f>
        <v>37.476383323367799</v>
      </c>
      <c r="N60" s="2">
        <v>3</v>
      </c>
      <c r="O60" s="2" t="s">
        <v>95</v>
      </c>
      <c r="R60" s="2" t="s">
        <v>73</v>
      </c>
      <c r="S60" s="2" t="s">
        <v>73</v>
      </c>
      <c r="T60" s="2">
        <v>18</v>
      </c>
      <c r="V60" s="2">
        <v>120</v>
      </c>
      <c r="W60" s="2" t="s">
        <v>73</v>
      </c>
      <c r="X60" s="2">
        <v>12</v>
      </c>
      <c r="Z60" s="2" t="s">
        <v>98</v>
      </c>
      <c r="AC60" s="2" t="s">
        <v>116</v>
      </c>
      <c r="AF60" s="2" t="s">
        <v>138</v>
      </c>
      <c r="AG60" s="2" t="s">
        <v>87</v>
      </c>
      <c r="AH60" s="2" t="s">
        <v>430</v>
      </c>
    </row>
    <row r="61" spans="1:34" x14ac:dyDescent="0.2">
      <c r="A61" s="2">
        <v>71</v>
      </c>
      <c r="B61" s="2" t="s">
        <v>427</v>
      </c>
      <c r="C61" s="2" t="s">
        <v>432</v>
      </c>
      <c r="D61" s="2" t="s">
        <v>84</v>
      </c>
      <c r="E61" s="2" t="s">
        <v>85</v>
      </c>
      <c r="F61" s="2" t="s">
        <v>80</v>
      </c>
      <c r="G61" s="2">
        <v>52.8</v>
      </c>
      <c r="H61" s="4">
        <v>883</v>
      </c>
      <c r="I61" s="4">
        <v>21.396999999999998</v>
      </c>
      <c r="J61" s="4">
        <f>2.09*SQRT(3)</f>
        <v>3.6199861878189532</v>
      </c>
      <c r="K61" s="2">
        <v>3</v>
      </c>
      <c r="L61" s="4">
        <v>8.2840000000000007</v>
      </c>
      <c r="M61" s="4">
        <f>1.537*SQRT(3)</f>
        <v>2.6621620912333639</v>
      </c>
      <c r="N61" s="2">
        <v>3</v>
      </c>
      <c r="O61" s="2" t="s">
        <v>95</v>
      </c>
      <c r="R61" s="2" t="s">
        <v>73</v>
      </c>
      <c r="S61" s="2" t="s">
        <v>73</v>
      </c>
      <c r="T61" s="2">
        <v>18</v>
      </c>
      <c r="V61" s="2">
        <v>120</v>
      </c>
      <c r="W61" s="2" t="s">
        <v>73</v>
      </c>
      <c r="X61" s="2">
        <v>12</v>
      </c>
      <c r="Z61" s="2" t="s">
        <v>98</v>
      </c>
      <c r="AC61" s="2" t="s">
        <v>116</v>
      </c>
      <c r="AF61" s="2" t="s">
        <v>138</v>
      </c>
      <c r="AG61" s="2" t="s">
        <v>87</v>
      </c>
      <c r="AH61" s="2" t="s">
        <v>430</v>
      </c>
    </row>
    <row r="62" spans="1:34" x14ac:dyDescent="0.2">
      <c r="A62" s="2">
        <v>72</v>
      </c>
      <c r="B62" s="2" t="s">
        <v>435</v>
      </c>
      <c r="C62" s="2" t="s">
        <v>436</v>
      </c>
      <c r="D62" s="2" t="s">
        <v>84</v>
      </c>
      <c r="E62" s="2" t="s">
        <v>85</v>
      </c>
      <c r="F62" s="2" t="s">
        <v>78</v>
      </c>
      <c r="G62" s="2">
        <v>5</v>
      </c>
      <c r="H62" s="2">
        <v>50</v>
      </c>
      <c r="I62" s="4">
        <v>94.541339999999991</v>
      </c>
      <c r="J62" s="4">
        <v>5.5291938968583878</v>
      </c>
      <c r="K62" s="2">
        <v>3</v>
      </c>
      <c r="L62" s="4">
        <v>83.051460000000006</v>
      </c>
      <c r="M62" s="4">
        <v>13.373013407798414</v>
      </c>
      <c r="N62" s="2">
        <v>3</v>
      </c>
      <c r="O62" s="2" t="s">
        <v>75</v>
      </c>
      <c r="P62" s="2" t="s">
        <v>616</v>
      </c>
      <c r="R62" s="2" t="s">
        <v>73</v>
      </c>
      <c r="S62" s="2" t="s">
        <v>87</v>
      </c>
      <c r="T62" s="2">
        <v>16</v>
      </c>
      <c r="V62" s="2">
        <v>120</v>
      </c>
      <c r="W62" s="2" t="s">
        <v>73</v>
      </c>
      <c r="X62" s="2">
        <v>12</v>
      </c>
      <c r="Y62" s="2">
        <v>35</v>
      </c>
      <c r="Z62" s="2" t="s">
        <v>89</v>
      </c>
      <c r="AC62" s="2" t="s">
        <v>116</v>
      </c>
      <c r="AD62" s="2">
        <v>400</v>
      </c>
      <c r="AF62" s="2" t="s">
        <v>437</v>
      </c>
      <c r="AG62" s="2" t="s">
        <v>87</v>
      </c>
      <c r="AH62" s="2" t="s">
        <v>444</v>
      </c>
    </row>
    <row r="63" spans="1:34" x14ac:dyDescent="0.2">
      <c r="A63" s="2">
        <v>73</v>
      </c>
      <c r="B63" s="2" t="s">
        <v>435</v>
      </c>
      <c r="C63" s="2" t="s">
        <v>436</v>
      </c>
      <c r="D63" s="2" t="s">
        <v>84</v>
      </c>
      <c r="E63" s="2" t="s">
        <v>85</v>
      </c>
      <c r="F63" s="2" t="s">
        <v>80</v>
      </c>
      <c r="G63" s="2">
        <v>5</v>
      </c>
      <c r="H63" s="2">
        <v>50</v>
      </c>
      <c r="I63" s="4">
        <v>9.6519999999999992</v>
      </c>
      <c r="J63" s="4">
        <v>0.504</v>
      </c>
      <c r="K63" s="2">
        <v>3</v>
      </c>
      <c r="L63" s="4">
        <v>7.4119999999999999</v>
      </c>
      <c r="M63" s="4">
        <v>0.23799999999999999</v>
      </c>
      <c r="N63" s="2">
        <v>3</v>
      </c>
      <c r="O63" s="2" t="s">
        <v>75</v>
      </c>
      <c r="P63" s="2" t="s">
        <v>616</v>
      </c>
      <c r="R63" s="2" t="s">
        <v>73</v>
      </c>
      <c r="S63" s="2" t="s">
        <v>87</v>
      </c>
      <c r="T63" s="2">
        <v>16</v>
      </c>
      <c r="V63" s="2">
        <v>120</v>
      </c>
      <c r="W63" s="2" t="s">
        <v>73</v>
      </c>
      <c r="X63" s="2">
        <v>12</v>
      </c>
      <c r="Y63" s="2">
        <v>35</v>
      </c>
      <c r="Z63" s="2" t="s">
        <v>89</v>
      </c>
      <c r="AC63" s="2" t="s">
        <v>116</v>
      </c>
      <c r="AD63" s="2">
        <v>400</v>
      </c>
      <c r="AF63" s="2" t="s">
        <v>437</v>
      </c>
      <c r="AG63" s="2" t="s">
        <v>87</v>
      </c>
      <c r="AH63" s="2" t="s">
        <v>444</v>
      </c>
    </row>
    <row r="64" spans="1:34" x14ac:dyDescent="0.2">
      <c r="A64" s="2">
        <v>74</v>
      </c>
      <c r="B64" s="2" t="s">
        <v>435</v>
      </c>
      <c r="C64" s="2" t="s">
        <v>436</v>
      </c>
      <c r="D64" s="2" t="s">
        <v>84</v>
      </c>
      <c r="E64" s="2" t="s">
        <v>85</v>
      </c>
      <c r="F64" s="2" t="s">
        <v>78</v>
      </c>
      <c r="G64" s="2">
        <v>5</v>
      </c>
      <c r="H64" s="2">
        <v>50</v>
      </c>
      <c r="I64" s="4">
        <v>104.51236799999998</v>
      </c>
      <c r="J64" s="4">
        <v>21.964567204904384</v>
      </c>
      <c r="K64" s="2">
        <v>3</v>
      </c>
      <c r="L64" s="4">
        <v>89.642895999999993</v>
      </c>
      <c r="M64" s="4">
        <v>13.679430872274187</v>
      </c>
      <c r="N64" s="2">
        <v>3</v>
      </c>
      <c r="O64" s="2" t="s">
        <v>75</v>
      </c>
      <c r="P64" s="2" t="s">
        <v>616</v>
      </c>
      <c r="R64" s="2" t="s">
        <v>73</v>
      </c>
      <c r="S64" s="2" t="s">
        <v>87</v>
      </c>
      <c r="T64" s="2">
        <v>16</v>
      </c>
      <c r="V64" s="2">
        <v>120</v>
      </c>
      <c r="W64" s="2" t="s">
        <v>73</v>
      </c>
      <c r="X64" s="2">
        <v>12</v>
      </c>
      <c r="Y64" s="2">
        <v>35</v>
      </c>
      <c r="Z64" s="2" t="s">
        <v>89</v>
      </c>
      <c r="AC64" s="2" t="s">
        <v>116</v>
      </c>
      <c r="AD64" s="2">
        <v>800</v>
      </c>
      <c r="AF64" s="2" t="s">
        <v>437</v>
      </c>
      <c r="AG64" s="2" t="s">
        <v>87</v>
      </c>
      <c r="AH64" s="2" t="s">
        <v>445</v>
      </c>
    </row>
    <row r="65" spans="1:34" x14ac:dyDescent="0.2">
      <c r="A65" s="2">
        <v>75</v>
      </c>
      <c r="B65" s="2" t="s">
        <v>435</v>
      </c>
      <c r="C65" s="2" t="s">
        <v>436</v>
      </c>
      <c r="D65" s="2" t="s">
        <v>84</v>
      </c>
      <c r="E65" s="2" t="s">
        <v>85</v>
      </c>
      <c r="F65" s="2" t="s">
        <v>80</v>
      </c>
      <c r="G65" s="2">
        <v>5</v>
      </c>
      <c r="H65" s="2">
        <v>50</v>
      </c>
      <c r="I65" s="4">
        <v>9.4529999999999994</v>
      </c>
      <c r="J65" s="4">
        <v>1.28</v>
      </c>
      <c r="K65" s="2">
        <v>3</v>
      </c>
      <c r="L65" s="4">
        <v>7.952</v>
      </c>
      <c r="M65" s="4">
        <v>0.84399999999999997</v>
      </c>
      <c r="N65" s="2">
        <v>3</v>
      </c>
      <c r="O65" s="2" t="s">
        <v>75</v>
      </c>
      <c r="P65" s="2" t="s">
        <v>616</v>
      </c>
      <c r="R65" s="2" t="s">
        <v>73</v>
      </c>
      <c r="S65" s="2" t="s">
        <v>87</v>
      </c>
      <c r="T65" s="2">
        <v>16</v>
      </c>
      <c r="V65" s="2">
        <v>120</v>
      </c>
      <c r="W65" s="2" t="s">
        <v>73</v>
      </c>
      <c r="X65" s="2">
        <v>12</v>
      </c>
      <c r="Y65" s="2">
        <v>35</v>
      </c>
      <c r="Z65" s="2" t="s">
        <v>89</v>
      </c>
      <c r="AC65" s="2" t="s">
        <v>116</v>
      </c>
      <c r="AD65" s="2">
        <v>800</v>
      </c>
      <c r="AF65" s="2" t="s">
        <v>437</v>
      </c>
      <c r="AG65" s="2" t="s">
        <v>87</v>
      </c>
      <c r="AH65" s="2" t="s">
        <v>445</v>
      </c>
    </row>
    <row r="66" spans="1:34" x14ac:dyDescent="0.2">
      <c r="A66" s="2">
        <v>76</v>
      </c>
      <c r="B66" s="2" t="s">
        <v>435</v>
      </c>
      <c r="C66" s="2" t="s">
        <v>436</v>
      </c>
      <c r="D66" s="2" t="s">
        <v>84</v>
      </c>
      <c r="E66" s="2" t="s">
        <v>85</v>
      </c>
      <c r="F66" s="2" t="s">
        <v>78</v>
      </c>
      <c r="G66" s="2">
        <v>5</v>
      </c>
      <c r="H66" s="2">
        <v>100</v>
      </c>
      <c r="I66" s="4">
        <v>139.5009</v>
      </c>
      <c r="J66" s="4">
        <v>22.965777205913348</v>
      </c>
      <c r="K66" s="2">
        <v>3</v>
      </c>
      <c r="L66" s="4">
        <v>114.138276</v>
      </c>
      <c r="M66" s="4">
        <v>12.577382072175157</v>
      </c>
      <c r="N66" s="2">
        <v>3</v>
      </c>
      <c r="O66" s="2" t="s">
        <v>75</v>
      </c>
      <c r="P66" s="2" t="s">
        <v>616</v>
      </c>
      <c r="R66" s="2" t="s">
        <v>73</v>
      </c>
      <c r="S66" s="2" t="s">
        <v>87</v>
      </c>
      <c r="T66" s="2">
        <v>20</v>
      </c>
      <c r="V66" s="2">
        <v>120</v>
      </c>
      <c r="W66" s="2" t="s">
        <v>73</v>
      </c>
      <c r="X66" s="2">
        <v>12</v>
      </c>
      <c r="Y66" s="2">
        <v>35</v>
      </c>
      <c r="Z66" s="2" t="s">
        <v>89</v>
      </c>
      <c r="AC66" s="2" t="s">
        <v>116</v>
      </c>
      <c r="AD66" s="2">
        <v>400</v>
      </c>
      <c r="AF66" s="2" t="s">
        <v>437</v>
      </c>
      <c r="AG66" s="2" t="s">
        <v>87</v>
      </c>
      <c r="AH66" s="2" t="s">
        <v>446</v>
      </c>
    </row>
    <row r="67" spans="1:34" x14ac:dyDescent="0.2">
      <c r="A67" s="2">
        <v>77</v>
      </c>
      <c r="B67" s="2" t="s">
        <v>435</v>
      </c>
      <c r="C67" s="2" t="s">
        <v>436</v>
      </c>
      <c r="D67" s="2" t="s">
        <v>84</v>
      </c>
      <c r="E67" s="2" t="s">
        <v>85</v>
      </c>
      <c r="F67" s="2" t="s">
        <v>80</v>
      </c>
      <c r="G67" s="2">
        <v>5</v>
      </c>
      <c r="H67" s="2">
        <v>100</v>
      </c>
      <c r="I67" s="4">
        <v>9.9</v>
      </c>
      <c r="J67" s="4">
        <v>1.5229999999999999</v>
      </c>
      <c r="K67" s="2">
        <v>3</v>
      </c>
      <c r="L67" s="4">
        <v>7.5910000000000002</v>
      </c>
      <c r="M67" s="4">
        <v>0.247</v>
      </c>
      <c r="N67" s="2">
        <v>3</v>
      </c>
      <c r="O67" s="2" t="s">
        <v>75</v>
      </c>
      <c r="P67" s="2" t="s">
        <v>616</v>
      </c>
      <c r="R67" s="2" t="s">
        <v>73</v>
      </c>
      <c r="S67" s="2" t="s">
        <v>87</v>
      </c>
      <c r="T67" s="2">
        <v>20</v>
      </c>
      <c r="V67" s="2">
        <v>120</v>
      </c>
      <c r="W67" s="2" t="s">
        <v>73</v>
      </c>
      <c r="X67" s="2">
        <v>12</v>
      </c>
      <c r="Y67" s="2">
        <v>35</v>
      </c>
      <c r="Z67" s="2" t="s">
        <v>89</v>
      </c>
      <c r="AC67" s="2" t="s">
        <v>116</v>
      </c>
      <c r="AD67" s="2">
        <v>400</v>
      </c>
      <c r="AF67" s="2" t="s">
        <v>437</v>
      </c>
      <c r="AG67" s="2" t="s">
        <v>87</v>
      </c>
      <c r="AH67" s="2" t="s">
        <v>446</v>
      </c>
    </row>
    <row r="68" spans="1:34" x14ac:dyDescent="0.2">
      <c r="A68" s="2">
        <v>78</v>
      </c>
      <c r="B68" s="2" t="s">
        <v>435</v>
      </c>
      <c r="C68" s="2" t="s">
        <v>436</v>
      </c>
      <c r="D68" s="2" t="s">
        <v>84</v>
      </c>
      <c r="E68" s="2" t="s">
        <v>85</v>
      </c>
      <c r="F68" s="2" t="s">
        <v>78</v>
      </c>
      <c r="G68" s="2">
        <v>5</v>
      </c>
      <c r="H68" s="2">
        <v>100</v>
      </c>
      <c r="I68" s="4">
        <v>142.06707</v>
      </c>
      <c r="J68" s="4">
        <v>14.971715669779631</v>
      </c>
      <c r="K68" s="2">
        <v>3</v>
      </c>
      <c r="L68" s="4">
        <v>127.36484100000001</v>
      </c>
      <c r="M68" s="4">
        <v>31.350318675921699</v>
      </c>
      <c r="N68" s="2">
        <v>3</v>
      </c>
      <c r="O68" s="2" t="s">
        <v>75</v>
      </c>
      <c r="P68" s="2" t="s">
        <v>616</v>
      </c>
      <c r="R68" s="2" t="s">
        <v>73</v>
      </c>
      <c r="S68" s="2" t="s">
        <v>87</v>
      </c>
      <c r="T68" s="2">
        <v>20</v>
      </c>
      <c r="V68" s="2">
        <v>120</v>
      </c>
      <c r="W68" s="2" t="s">
        <v>73</v>
      </c>
      <c r="X68" s="2">
        <v>12</v>
      </c>
      <c r="Y68" s="2">
        <v>35</v>
      </c>
      <c r="Z68" s="2" t="s">
        <v>89</v>
      </c>
      <c r="AC68" s="2" t="s">
        <v>116</v>
      </c>
      <c r="AD68" s="2">
        <v>800</v>
      </c>
      <c r="AF68" s="2" t="s">
        <v>437</v>
      </c>
      <c r="AG68" s="2" t="s">
        <v>87</v>
      </c>
      <c r="AH68" s="2" t="s">
        <v>447</v>
      </c>
    </row>
    <row r="69" spans="1:34" x14ac:dyDescent="0.2">
      <c r="A69" s="2">
        <v>79</v>
      </c>
      <c r="B69" s="2" t="s">
        <v>435</v>
      </c>
      <c r="C69" s="2" t="s">
        <v>436</v>
      </c>
      <c r="D69" s="2" t="s">
        <v>84</v>
      </c>
      <c r="E69" s="2" t="s">
        <v>85</v>
      </c>
      <c r="F69" s="2" t="s">
        <v>80</v>
      </c>
      <c r="G69" s="2">
        <v>5</v>
      </c>
      <c r="H69" s="2">
        <v>100</v>
      </c>
      <c r="I69" s="4">
        <v>10.77</v>
      </c>
      <c r="J69" s="4">
        <v>1.0249999999999999</v>
      </c>
      <c r="K69" s="2">
        <v>3</v>
      </c>
      <c r="L69" s="4">
        <v>7.8810000000000002</v>
      </c>
      <c r="M69" s="4">
        <v>0.45700000000000002</v>
      </c>
      <c r="N69" s="2">
        <v>3</v>
      </c>
      <c r="O69" s="2" t="s">
        <v>75</v>
      </c>
      <c r="P69" s="2" t="s">
        <v>616</v>
      </c>
      <c r="R69" s="2" t="s">
        <v>73</v>
      </c>
      <c r="S69" s="2" t="s">
        <v>87</v>
      </c>
      <c r="T69" s="2">
        <v>20</v>
      </c>
      <c r="V69" s="2">
        <v>120</v>
      </c>
      <c r="W69" s="2" t="s">
        <v>73</v>
      </c>
      <c r="X69" s="2">
        <v>12</v>
      </c>
      <c r="Y69" s="2">
        <v>35</v>
      </c>
      <c r="Z69" s="2" t="s">
        <v>89</v>
      </c>
      <c r="AC69" s="2" t="s">
        <v>116</v>
      </c>
      <c r="AD69" s="2">
        <v>800</v>
      </c>
      <c r="AF69" s="2" t="s">
        <v>437</v>
      </c>
      <c r="AG69" s="2" t="s">
        <v>87</v>
      </c>
      <c r="AH69" s="2" t="s">
        <v>447</v>
      </c>
    </row>
    <row r="70" spans="1:34" x14ac:dyDescent="0.2">
      <c r="A70" s="2">
        <v>80</v>
      </c>
      <c r="B70" s="2" t="s">
        <v>450</v>
      </c>
      <c r="C70" s="2" t="s">
        <v>451</v>
      </c>
      <c r="D70" s="2" t="s">
        <v>121</v>
      </c>
      <c r="E70" s="2" t="s">
        <v>106</v>
      </c>
      <c r="F70" s="2" t="s">
        <v>78</v>
      </c>
      <c r="G70" s="2">
        <v>72</v>
      </c>
      <c r="H70" s="2">
        <v>287</v>
      </c>
      <c r="I70" s="4">
        <v>46.673962104072395</v>
      </c>
      <c r="J70" s="4">
        <v>3.6040384523807729</v>
      </c>
      <c r="K70" s="6">
        <v>3</v>
      </c>
      <c r="L70" s="4">
        <v>43.097887177806903</v>
      </c>
      <c r="M70" s="4">
        <v>4.8177235984292794</v>
      </c>
      <c r="N70" s="2">
        <v>3</v>
      </c>
      <c r="O70" s="2" t="s">
        <v>95</v>
      </c>
      <c r="P70" s="2" t="s">
        <v>34</v>
      </c>
      <c r="R70" s="2" t="s">
        <v>73</v>
      </c>
      <c r="S70" s="2" t="s">
        <v>73</v>
      </c>
      <c r="T70" s="2">
        <v>21.5</v>
      </c>
      <c r="V70" s="2">
        <v>115</v>
      </c>
      <c r="W70" s="2" t="s">
        <v>73</v>
      </c>
      <c r="X70" s="2">
        <v>12</v>
      </c>
      <c r="Z70" s="2" t="s">
        <v>98</v>
      </c>
      <c r="AC70" s="2" t="s">
        <v>116</v>
      </c>
      <c r="AF70" s="2" t="s">
        <v>123</v>
      </c>
      <c r="AG70" s="2" t="s">
        <v>87</v>
      </c>
      <c r="AH70" s="2" t="s">
        <v>453</v>
      </c>
    </row>
    <row r="71" spans="1:34" x14ac:dyDescent="0.2">
      <c r="A71" s="2">
        <v>81</v>
      </c>
      <c r="B71" s="2" t="s">
        <v>450</v>
      </c>
      <c r="C71" s="2" t="s">
        <v>451</v>
      </c>
      <c r="D71" s="2" t="s">
        <v>121</v>
      </c>
      <c r="E71" s="2" t="s">
        <v>106</v>
      </c>
      <c r="F71" s="2" t="s">
        <v>80</v>
      </c>
      <c r="G71" s="2">
        <v>72</v>
      </c>
      <c r="H71" s="2">
        <v>287</v>
      </c>
      <c r="I71" s="4">
        <v>15.242304549169166</v>
      </c>
      <c r="J71" s="4">
        <v>0.25416797537719721</v>
      </c>
      <c r="K71" s="6">
        <v>3</v>
      </c>
      <c r="L71" s="4">
        <v>4.35351686</v>
      </c>
      <c r="M71" s="4">
        <v>0.19622990000000001</v>
      </c>
      <c r="N71" s="2">
        <v>3</v>
      </c>
      <c r="O71" s="2" t="s">
        <v>95</v>
      </c>
      <c r="P71" s="2" t="s">
        <v>34</v>
      </c>
      <c r="R71" s="2" t="s">
        <v>73</v>
      </c>
      <c r="S71" s="2" t="s">
        <v>73</v>
      </c>
      <c r="T71" s="2">
        <v>21.5</v>
      </c>
      <c r="V71" s="2">
        <v>115</v>
      </c>
      <c r="W71" s="2" t="s">
        <v>73</v>
      </c>
      <c r="X71" s="2">
        <v>12</v>
      </c>
      <c r="Z71" s="2" t="s">
        <v>98</v>
      </c>
      <c r="AC71" s="2" t="s">
        <v>116</v>
      </c>
      <c r="AF71" s="2" t="s">
        <v>123</v>
      </c>
      <c r="AG71" s="2" t="s">
        <v>87</v>
      </c>
      <c r="AH71" s="2" t="s">
        <v>453</v>
      </c>
    </row>
    <row r="72" spans="1:34" x14ac:dyDescent="0.2">
      <c r="A72" s="2">
        <v>82</v>
      </c>
      <c r="B72" s="2" t="s">
        <v>450</v>
      </c>
      <c r="C72" s="2" t="s">
        <v>454</v>
      </c>
      <c r="D72" s="2" t="s">
        <v>202</v>
      </c>
      <c r="E72" s="2" t="s">
        <v>106</v>
      </c>
      <c r="F72" s="2" t="s">
        <v>78</v>
      </c>
      <c r="G72" s="2">
        <v>72</v>
      </c>
      <c r="H72" s="2">
        <v>287</v>
      </c>
      <c r="I72" s="4">
        <v>44.07224634968177</v>
      </c>
      <c r="J72" s="4">
        <v>2.0275197038891211</v>
      </c>
      <c r="K72" s="6">
        <v>3</v>
      </c>
      <c r="L72" s="4">
        <v>34.329446250541821</v>
      </c>
      <c r="M72" s="4">
        <v>3.1944400890774465</v>
      </c>
      <c r="N72" s="2">
        <v>3</v>
      </c>
      <c r="O72" s="2" t="s">
        <v>95</v>
      </c>
      <c r="P72" s="2" t="s">
        <v>34</v>
      </c>
      <c r="R72" s="2" t="s">
        <v>73</v>
      </c>
      <c r="S72" s="2" t="s">
        <v>73</v>
      </c>
      <c r="T72" s="2">
        <v>21.5</v>
      </c>
      <c r="V72" s="2">
        <v>115</v>
      </c>
      <c r="W72" s="2" t="s">
        <v>73</v>
      </c>
      <c r="X72" s="2">
        <v>12</v>
      </c>
      <c r="Z72" s="2" t="s">
        <v>98</v>
      </c>
      <c r="AC72" s="2" t="s">
        <v>116</v>
      </c>
      <c r="AF72" s="2" t="s">
        <v>123</v>
      </c>
      <c r="AG72" s="2" t="s">
        <v>87</v>
      </c>
      <c r="AH72" s="2" t="s">
        <v>453</v>
      </c>
    </row>
    <row r="73" spans="1:34" x14ac:dyDescent="0.2">
      <c r="A73" s="2">
        <v>83</v>
      </c>
      <c r="B73" s="2" t="s">
        <v>450</v>
      </c>
      <c r="C73" s="2" t="s">
        <v>454</v>
      </c>
      <c r="D73" s="2" t="s">
        <v>202</v>
      </c>
      <c r="E73" s="2" t="s">
        <v>106</v>
      </c>
      <c r="F73" s="2" t="s">
        <v>80</v>
      </c>
      <c r="G73" s="2">
        <v>72</v>
      </c>
      <c r="H73" s="2">
        <v>287</v>
      </c>
      <c r="I73" s="4">
        <v>14.732558139534884</v>
      </c>
      <c r="J73" s="4">
        <v>0.31781277115152812</v>
      </c>
      <c r="K73" s="6">
        <v>3</v>
      </c>
      <c r="L73" s="4">
        <v>3.5307199211045366</v>
      </c>
      <c r="M73" s="4">
        <v>8.716513536366427E-2</v>
      </c>
      <c r="N73" s="2">
        <v>3</v>
      </c>
      <c r="O73" s="2" t="s">
        <v>95</v>
      </c>
      <c r="P73" s="2" t="s">
        <v>34</v>
      </c>
      <c r="R73" s="2" t="s">
        <v>73</v>
      </c>
      <c r="S73" s="2" t="s">
        <v>73</v>
      </c>
      <c r="T73" s="2">
        <v>21.5</v>
      </c>
      <c r="V73" s="2">
        <v>115</v>
      </c>
      <c r="W73" s="2" t="s">
        <v>73</v>
      </c>
      <c r="X73" s="2">
        <v>12</v>
      </c>
      <c r="Z73" s="2" t="s">
        <v>98</v>
      </c>
      <c r="AC73" s="2" t="s">
        <v>116</v>
      </c>
      <c r="AF73" s="2" t="s">
        <v>123</v>
      </c>
      <c r="AG73" s="2" t="s">
        <v>87</v>
      </c>
      <c r="AH73" s="2" t="s">
        <v>453</v>
      </c>
    </row>
    <row r="74" spans="1:34" x14ac:dyDescent="0.2">
      <c r="A74" s="2">
        <v>84</v>
      </c>
      <c r="B74" s="2" t="s">
        <v>455</v>
      </c>
      <c r="C74" s="2" t="s">
        <v>456</v>
      </c>
      <c r="D74" s="2" t="s">
        <v>84</v>
      </c>
      <c r="E74" s="2" t="s">
        <v>85</v>
      </c>
      <c r="F74" s="2" t="s">
        <v>80</v>
      </c>
      <c r="G74" s="2">
        <v>0.5</v>
      </c>
      <c r="H74" s="2">
        <v>30</v>
      </c>
      <c r="I74" s="4">
        <f>11/12*14</f>
        <v>12.833333333333332</v>
      </c>
      <c r="J74" s="4">
        <f>1/12*14*SQRT(3)</f>
        <v>2.0207259421636898</v>
      </c>
      <c r="K74" s="2">
        <v>3</v>
      </c>
      <c r="L74" s="4">
        <f>5.8/12*14</f>
        <v>6.7666666666666666</v>
      </c>
      <c r="M74" s="4">
        <f>0.1/12*14*SQRT(3)</f>
        <v>0.202072594216369</v>
      </c>
      <c r="N74" s="2">
        <v>3</v>
      </c>
      <c r="O74" s="2" t="s">
        <v>95</v>
      </c>
      <c r="P74" s="2" t="s">
        <v>616</v>
      </c>
      <c r="R74" s="2" t="s">
        <v>73</v>
      </c>
      <c r="S74" s="2" t="s">
        <v>73</v>
      </c>
      <c r="T74" s="2">
        <v>20</v>
      </c>
      <c r="V74" s="2">
        <v>50</v>
      </c>
      <c r="W74" s="2" t="s">
        <v>73</v>
      </c>
      <c r="X74" s="2">
        <v>14</v>
      </c>
      <c r="Z74" s="2" t="s">
        <v>89</v>
      </c>
      <c r="AC74" s="2" t="s">
        <v>116</v>
      </c>
      <c r="AF74" s="2" t="s">
        <v>142</v>
      </c>
      <c r="AG74" s="2" t="s">
        <v>73</v>
      </c>
      <c r="AH74" s="2" t="s">
        <v>457</v>
      </c>
    </row>
    <row r="75" spans="1:34" x14ac:dyDescent="0.2">
      <c r="A75" s="2">
        <v>85</v>
      </c>
      <c r="B75" s="2" t="s">
        <v>467</v>
      </c>
      <c r="C75" s="2" t="s">
        <v>468</v>
      </c>
      <c r="D75" s="2" t="s">
        <v>92</v>
      </c>
      <c r="E75" s="2" t="s">
        <v>93</v>
      </c>
      <c r="F75" s="2" t="s">
        <v>78</v>
      </c>
      <c r="G75" s="2">
        <v>22</v>
      </c>
      <c r="H75" s="2">
        <v>550</v>
      </c>
      <c r="I75" s="4">
        <v>41.650502232142863</v>
      </c>
      <c r="J75" s="4">
        <v>6.7699189286943202</v>
      </c>
      <c r="K75" s="2">
        <v>3</v>
      </c>
      <c r="L75" s="4">
        <v>46.764969538729332</v>
      </c>
      <c r="M75" s="4">
        <v>6.8792278524156227</v>
      </c>
      <c r="N75" s="2">
        <v>3</v>
      </c>
      <c r="O75" s="2" t="s">
        <v>75</v>
      </c>
      <c r="P75" s="2" t="s">
        <v>34</v>
      </c>
      <c r="R75" s="2" t="s">
        <v>73</v>
      </c>
      <c r="S75" s="2" t="s">
        <v>73</v>
      </c>
      <c r="T75" s="2">
        <v>25</v>
      </c>
      <c r="V75" s="2">
        <v>100</v>
      </c>
      <c r="W75" s="2" t="s">
        <v>73</v>
      </c>
      <c r="X75" s="2">
        <v>12</v>
      </c>
      <c r="Z75" s="2" t="s">
        <v>89</v>
      </c>
      <c r="AA75" s="2">
        <v>18</v>
      </c>
      <c r="AC75" s="2" t="s">
        <v>116</v>
      </c>
      <c r="AF75" s="2" t="s">
        <v>142</v>
      </c>
      <c r="AG75" s="2" t="s">
        <v>73</v>
      </c>
      <c r="AH75" s="2" t="s">
        <v>469</v>
      </c>
    </row>
    <row r="76" spans="1:34" x14ac:dyDescent="0.2">
      <c r="A76" s="2">
        <v>86</v>
      </c>
      <c r="B76" s="2" t="s">
        <v>467</v>
      </c>
      <c r="C76" s="2" t="s">
        <v>468</v>
      </c>
      <c r="D76" s="2" t="s">
        <v>92</v>
      </c>
      <c r="E76" s="2" t="s">
        <v>93</v>
      </c>
      <c r="F76" s="2" t="s">
        <v>80</v>
      </c>
      <c r="G76" s="2">
        <v>22</v>
      </c>
      <c r="H76" s="2">
        <v>550</v>
      </c>
      <c r="I76" s="4">
        <v>7.738532110091743</v>
      </c>
      <c r="J76" s="4">
        <v>1.5317125529419602</v>
      </c>
      <c r="K76" s="2">
        <v>3</v>
      </c>
      <c r="L76" s="4">
        <v>5.2236559139784946</v>
      </c>
      <c r="M76" s="4">
        <v>0.69004423758039812</v>
      </c>
      <c r="N76" s="2">
        <v>3</v>
      </c>
      <c r="O76" s="2" t="s">
        <v>75</v>
      </c>
      <c r="P76" s="2" t="s">
        <v>34</v>
      </c>
      <c r="R76" s="2" t="s">
        <v>73</v>
      </c>
      <c r="S76" s="2" t="s">
        <v>73</v>
      </c>
      <c r="T76" s="2">
        <v>25</v>
      </c>
      <c r="V76" s="2">
        <v>100</v>
      </c>
      <c r="W76" s="2" t="s">
        <v>73</v>
      </c>
      <c r="X76" s="2">
        <v>12</v>
      </c>
      <c r="Z76" s="2" t="s">
        <v>89</v>
      </c>
      <c r="AA76" s="2">
        <v>18</v>
      </c>
      <c r="AC76" s="2" t="s">
        <v>116</v>
      </c>
      <c r="AF76" s="2" t="s">
        <v>142</v>
      </c>
      <c r="AG76" s="2" t="s">
        <v>73</v>
      </c>
      <c r="AH76" s="2" t="s">
        <v>469</v>
      </c>
    </row>
    <row r="77" spans="1:34" x14ac:dyDescent="0.2">
      <c r="A77" s="2">
        <v>87</v>
      </c>
      <c r="B77" s="2" t="s">
        <v>467</v>
      </c>
      <c r="C77" s="2" t="s">
        <v>468</v>
      </c>
      <c r="D77" s="2" t="s">
        <v>92</v>
      </c>
      <c r="E77" s="2" t="s">
        <v>93</v>
      </c>
      <c r="F77" s="2" t="s">
        <v>78</v>
      </c>
      <c r="G77" s="2">
        <v>22</v>
      </c>
      <c r="H77" s="2">
        <v>550</v>
      </c>
      <c r="I77" s="4">
        <v>39.738614457831325</v>
      </c>
      <c r="J77" s="4">
        <v>8.0108436787974213</v>
      </c>
      <c r="K77" s="2">
        <v>3</v>
      </c>
      <c r="L77" s="4">
        <v>47.628623988226643</v>
      </c>
      <c r="M77" s="4">
        <v>9.4151762856028132</v>
      </c>
      <c r="N77" s="2">
        <v>3</v>
      </c>
      <c r="O77" s="2" t="s">
        <v>75</v>
      </c>
      <c r="P77" s="2" t="s">
        <v>34</v>
      </c>
      <c r="R77" s="2" t="s">
        <v>73</v>
      </c>
      <c r="S77" s="2" t="s">
        <v>73</v>
      </c>
      <c r="T77" s="2">
        <v>25</v>
      </c>
      <c r="V77" s="2">
        <v>100</v>
      </c>
      <c r="W77" s="2" t="s">
        <v>73</v>
      </c>
      <c r="X77" s="2">
        <v>12</v>
      </c>
      <c r="Z77" s="2" t="s">
        <v>89</v>
      </c>
      <c r="AA77" s="2">
        <v>18</v>
      </c>
      <c r="AC77" s="2" t="s">
        <v>117</v>
      </c>
      <c r="AF77" s="2" t="s">
        <v>142</v>
      </c>
      <c r="AG77" s="2" t="s">
        <v>73</v>
      </c>
      <c r="AH77" s="2" t="s">
        <v>470</v>
      </c>
    </row>
    <row r="78" spans="1:34" x14ac:dyDescent="0.2">
      <c r="A78" s="2">
        <v>88</v>
      </c>
      <c r="B78" s="2" t="s">
        <v>467</v>
      </c>
      <c r="C78" s="2" t="s">
        <v>468</v>
      </c>
      <c r="D78" s="2" t="s">
        <v>92</v>
      </c>
      <c r="E78" s="2" t="s">
        <v>93</v>
      </c>
      <c r="F78" s="2" t="s">
        <v>80</v>
      </c>
      <c r="G78" s="2">
        <v>22</v>
      </c>
      <c r="H78" s="2">
        <v>550</v>
      </c>
      <c r="I78" s="4">
        <v>8.6686046511627897</v>
      </c>
      <c r="J78" s="4">
        <v>2.3357067427116567</v>
      </c>
      <c r="K78" s="2">
        <v>3</v>
      </c>
      <c r="L78" s="4">
        <v>4.5576323987538938</v>
      </c>
      <c r="M78" s="4">
        <v>0.45983673826951244</v>
      </c>
      <c r="N78" s="2">
        <v>3</v>
      </c>
      <c r="O78" s="2" t="s">
        <v>75</v>
      </c>
      <c r="P78" s="2" t="s">
        <v>34</v>
      </c>
      <c r="R78" s="2" t="s">
        <v>73</v>
      </c>
      <c r="S78" s="2" t="s">
        <v>73</v>
      </c>
      <c r="T78" s="2">
        <v>25</v>
      </c>
      <c r="V78" s="2">
        <v>100</v>
      </c>
      <c r="W78" s="2" t="s">
        <v>73</v>
      </c>
      <c r="X78" s="2">
        <v>12</v>
      </c>
      <c r="Z78" s="2" t="s">
        <v>89</v>
      </c>
      <c r="AA78" s="2">
        <v>18</v>
      </c>
      <c r="AC78" s="2" t="s">
        <v>117</v>
      </c>
      <c r="AF78" s="2" t="s">
        <v>142</v>
      </c>
      <c r="AG78" s="2" t="s">
        <v>73</v>
      </c>
      <c r="AH78" s="2" t="s">
        <v>470</v>
      </c>
    </row>
    <row r="79" spans="1:34" x14ac:dyDescent="0.2">
      <c r="A79" s="2">
        <v>89</v>
      </c>
      <c r="B79" s="2" t="s">
        <v>488</v>
      </c>
      <c r="C79" s="2" t="s">
        <v>159</v>
      </c>
      <c r="D79" s="2" t="s">
        <v>84</v>
      </c>
      <c r="E79" s="2" t="s">
        <v>85</v>
      </c>
      <c r="F79" s="2" t="s">
        <v>80</v>
      </c>
      <c r="G79" s="2">
        <v>25</v>
      </c>
      <c r="H79" s="2">
        <v>85</v>
      </c>
      <c r="I79" s="4">
        <v>35.731000000000002</v>
      </c>
      <c r="J79" s="4">
        <f>1.704*SQRT(2)</f>
        <v>2.4098199102837539</v>
      </c>
      <c r="K79" s="2">
        <v>2</v>
      </c>
      <c r="L79" s="4">
        <v>27.222999999999999</v>
      </c>
      <c r="M79" s="4">
        <f>11.61*SQRT(2)</f>
        <v>16.419019459151635</v>
      </c>
      <c r="N79" s="2">
        <v>2</v>
      </c>
      <c r="O79" s="2" t="s">
        <v>95</v>
      </c>
      <c r="P79" s="2" t="s">
        <v>34</v>
      </c>
      <c r="R79" s="2" t="s">
        <v>73</v>
      </c>
      <c r="S79" s="2" t="s">
        <v>73</v>
      </c>
      <c r="T79" s="2">
        <v>15</v>
      </c>
      <c r="V79" s="2">
        <v>100</v>
      </c>
      <c r="W79" s="2" t="s">
        <v>73</v>
      </c>
      <c r="X79" s="2">
        <v>16</v>
      </c>
      <c r="Y79" s="2">
        <v>20</v>
      </c>
      <c r="Z79" s="2" t="s">
        <v>89</v>
      </c>
      <c r="AC79" s="2" t="s">
        <v>116</v>
      </c>
      <c r="AF79" s="2" t="s">
        <v>189</v>
      </c>
      <c r="AG79" s="2" t="s">
        <v>87</v>
      </c>
      <c r="AH79" s="2" t="s">
        <v>535</v>
      </c>
    </row>
    <row r="80" spans="1:34" x14ac:dyDescent="0.2">
      <c r="A80" s="2">
        <v>90</v>
      </c>
      <c r="B80" s="2" t="s">
        <v>488</v>
      </c>
      <c r="C80" s="2" t="s">
        <v>159</v>
      </c>
      <c r="D80" s="2" t="s">
        <v>84</v>
      </c>
      <c r="E80" s="2" t="s">
        <v>85</v>
      </c>
      <c r="F80" s="2" t="s">
        <v>80</v>
      </c>
      <c r="G80" s="2">
        <v>25</v>
      </c>
      <c r="H80" s="2">
        <v>85</v>
      </c>
      <c r="I80" s="4">
        <v>40.222999999999999</v>
      </c>
      <c r="J80" s="4">
        <f>4.777*SQRT(2)</f>
        <v>6.755698187456276</v>
      </c>
      <c r="K80" s="2">
        <v>2</v>
      </c>
      <c r="L80" s="4">
        <v>40.865000000000002</v>
      </c>
      <c r="M80" s="4">
        <f>0.900999999999996*SQRT(2)</f>
        <v>1.2742064196981531</v>
      </c>
      <c r="N80" s="2">
        <v>2</v>
      </c>
      <c r="O80" s="2" t="s">
        <v>95</v>
      </c>
      <c r="P80" s="2" t="s">
        <v>34</v>
      </c>
      <c r="R80" s="2" t="s">
        <v>73</v>
      </c>
      <c r="S80" s="2" t="s">
        <v>73</v>
      </c>
      <c r="T80" s="2">
        <v>15</v>
      </c>
      <c r="V80" s="2">
        <v>300</v>
      </c>
      <c r="W80" s="2" t="s">
        <v>73</v>
      </c>
      <c r="X80" s="2">
        <v>16</v>
      </c>
      <c r="Y80" s="2">
        <v>20</v>
      </c>
      <c r="Z80" s="2" t="s">
        <v>89</v>
      </c>
      <c r="AC80" s="2" t="s">
        <v>116</v>
      </c>
      <c r="AF80" s="2" t="s">
        <v>189</v>
      </c>
      <c r="AG80" s="2" t="s">
        <v>87</v>
      </c>
      <c r="AH80" s="2" t="s">
        <v>536</v>
      </c>
    </row>
    <row r="81" spans="1:34" x14ac:dyDescent="0.2">
      <c r="A81" s="2">
        <v>91</v>
      </c>
      <c r="B81" s="2" t="s">
        <v>488</v>
      </c>
      <c r="C81" s="2" t="s">
        <v>489</v>
      </c>
      <c r="D81" s="2" t="s">
        <v>135</v>
      </c>
      <c r="E81" s="2" t="s">
        <v>106</v>
      </c>
      <c r="F81" s="2" t="s">
        <v>80</v>
      </c>
      <c r="G81" s="2">
        <v>25</v>
      </c>
      <c r="H81" s="2">
        <v>85</v>
      </c>
      <c r="I81" s="4">
        <v>42.779000000000003</v>
      </c>
      <c r="J81" s="4">
        <f>9.767*SQRT(2)</f>
        <v>13.81262386369802</v>
      </c>
      <c r="K81" s="2">
        <v>2</v>
      </c>
      <c r="L81" s="4">
        <v>20.41</v>
      </c>
      <c r="M81" s="4">
        <f>1.329*SQRT(2)</f>
        <v>1.8794898243938434</v>
      </c>
      <c r="N81" s="2">
        <v>2</v>
      </c>
      <c r="O81" s="2" t="s">
        <v>95</v>
      </c>
      <c r="P81" s="2" t="s">
        <v>34</v>
      </c>
      <c r="R81" s="2" t="s">
        <v>73</v>
      </c>
      <c r="S81" s="2" t="s">
        <v>73</v>
      </c>
      <c r="T81" s="2">
        <v>15</v>
      </c>
      <c r="V81" s="2">
        <v>100</v>
      </c>
      <c r="W81" s="2" t="s">
        <v>73</v>
      </c>
      <c r="X81" s="2">
        <v>16</v>
      </c>
      <c r="Y81" s="2">
        <v>20</v>
      </c>
      <c r="Z81" s="2" t="s">
        <v>89</v>
      </c>
      <c r="AC81" s="2" t="s">
        <v>116</v>
      </c>
      <c r="AF81" s="2" t="s">
        <v>189</v>
      </c>
      <c r="AG81" s="2" t="s">
        <v>87</v>
      </c>
      <c r="AH81" s="2" t="s">
        <v>535</v>
      </c>
    </row>
    <row r="82" spans="1:34" x14ac:dyDescent="0.2">
      <c r="A82" s="2">
        <v>92</v>
      </c>
      <c r="B82" s="2" t="s">
        <v>488</v>
      </c>
      <c r="C82" s="2" t="s">
        <v>489</v>
      </c>
      <c r="D82" s="2" t="s">
        <v>135</v>
      </c>
      <c r="E82" s="2" t="s">
        <v>106</v>
      </c>
      <c r="F82" s="2" t="s">
        <v>80</v>
      </c>
      <c r="G82" s="2">
        <v>25</v>
      </c>
      <c r="H82" s="2">
        <v>85</v>
      </c>
      <c r="I82" s="4">
        <v>49.585000000000001</v>
      </c>
      <c r="J82" s="4">
        <f>7.192*SQRT(2)</f>
        <v>10.1710239405873</v>
      </c>
      <c r="K82" s="2">
        <v>2</v>
      </c>
      <c r="L82" s="4">
        <v>32.110999999999997</v>
      </c>
      <c r="M82" s="4">
        <f>5.292*SQRT(2)</f>
        <v>7.4840181720784189</v>
      </c>
      <c r="N82" s="2">
        <v>2</v>
      </c>
      <c r="O82" s="2" t="s">
        <v>95</v>
      </c>
      <c r="P82" s="2" t="s">
        <v>34</v>
      </c>
      <c r="R82" s="2" t="s">
        <v>73</v>
      </c>
      <c r="S82" s="2" t="s">
        <v>73</v>
      </c>
      <c r="T82" s="2">
        <v>15</v>
      </c>
      <c r="V82" s="2">
        <v>300</v>
      </c>
      <c r="W82" s="2" t="s">
        <v>73</v>
      </c>
      <c r="X82" s="2">
        <v>16</v>
      </c>
      <c r="Y82" s="2">
        <v>20</v>
      </c>
      <c r="Z82" s="2" t="s">
        <v>89</v>
      </c>
      <c r="AC82" s="2" t="s">
        <v>116</v>
      </c>
      <c r="AF82" s="2" t="s">
        <v>189</v>
      </c>
      <c r="AG82" s="2" t="s">
        <v>87</v>
      </c>
      <c r="AH82" s="2" t="s">
        <v>536</v>
      </c>
    </row>
    <row r="83" spans="1:34" x14ac:dyDescent="0.2">
      <c r="A83" s="2">
        <v>93</v>
      </c>
      <c r="B83" s="2" t="s">
        <v>488</v>
      </c>
      <c r="C83" s="2" t="s">
        <v>490</v>
      </c>
      <c r="D83" s="2" t="s">
        <v>135</v>
      </c>
      <c r="E83" s="2" t="s">
        <v>106</v>
      </c>
      <c r="F83" s="2" t="s">
        <v>80</v>
      </c>
      <c r="G83" s="2">
        <v>25</v>
      </c>
      <c r="H83" s="2">
        <v>85</v>
      </c>
      <c r="I83" s="4">
        <v>20.923999999999999</v>
      </c>
      <c r="J83" s="4">
        <f>0.416*SQRT(2)</f>
        <v>0.58831284194720757</v>
      </c>
      <c r="K83" s="2">
        <v>2</v>
      </c>
      <c r="L83" s="4">
        <v>20.65</v>
      </c>
      <c r="M83" s="4">
        <f>0.473000000000003*SQRT(2)</f>
        <v>0.66892301500247819</v>
      </c>
      <c r="N83" s="2">
        <v>2</v>
      </c>
      <c r="O83" s="2" t="s">
        <v>95</v>
      </c>
      <c r="P83" s="2" t="s">
        <v>34</v>
      </c>
      <c r="R83" s="2" t="s">
        <v>73</v>
      </c>
      <c r="S83" s="2" t="s">
        <v>73</v>
      </c>
      <c r="T83" s="2">
        <v>15</v>
      </c>
      <c r="V83" s="2">
        <v>100</v>
      </c>
      <c r="W83" s="2" t="s">
        <v>73</v>
      </c>
      <c r="X83" s="2">
        <v>16</v>
      </c>
      <c r="Y83" s="2">
        <v>20</v>
      </c>
      <c r="Z83" s="2" t="s">
        <v>89</v>
      </c>
      <c r="AC83" s="2" t="s">
        <v>116</v>
      </c>
      <c r="AF83" s="2" t="s">
        <v>189</v>
      </c>
      <c r="AG83" s="2" t="s">
        <v>87</v>
      </c>
      <c r="AH83" s="2" t="s">
        <v>535</v>
      </c>
    </row>
    <row r="84" spans="1:34" x14ac:dyDescent="0.2">
      <c r="A84" s="2">
        <v>94</v>
      </c>
      <c r="B84" s="2" t="s">
        <v>488</v>
      </c>
      <c r="C84" s="2" t="s">
        <v>490</v>
      </c>
      <c r="D84" s="2" t="s">
        <v>135</v>
      </c>
      <c r="E84" s="2" t="s">
        <v>106</v>
      </c>
      <c r="F84" s="2" t="s">
        <v>80</v>
      </c>
      <c r="G84" s="2">
        <v>25</v>
      </c>
      <c r="H84" s="2">
        <v>85</v>
      </c>
      <c r="I84" s="4">
        <v>21.637</v>
      </c>
      <c r="J84" s="4">
        <f>0.338999999999999*SQRT(2)</f>
        <v>0.47941839764447786</v>
      </c>
      <c r="K84" s="2">
        <v>2</v>
      </c>
      <c r="L84" s="4">
        <v>20.068000000000001</v>
      </c>
      <c r="M84" s="4">
        <f>2.336*SQRT(2)</f>
        <v>3.3036028817035499</v>
      </c>
      <c r="N84" s="2">
        <v>2</v>
      </c>
      <c r="O84" s="2" t="s">
        <v>95</v>
      </c>
      <c r="P84" s="2" t="s">
        <v>34</v>
      </c>
      <c r="R84" s="2" t="s">
        <v>73</v>
      </c>
      <c r="S84" s="2" t="s">
        <v>73</v>
      </c>
      <c r="T84" s="2">
        <v>15</v>
      </c>
      <c r="V84" s="2">
        <v>300</v>
      </c>
      <c r="W84" s="2" t="s">
        <v>73</v>
      </c>
      <c r="X84" s="2">
        <v>16</v>
      </c>
      <c r="Y84" s="2">
        <v>20</v>
      </c>
      <c r="Z84" s="2" t="s">
        <v>89</v>
      </c>
      <c r="AC84" s="2" t="s">
        <v>116</v>
      </c>
      <c r="AF84" s="2" t="s">
        <v>189</v>
      </c>
      <c r="AG84" s="2" t="s">
        <v>87</v>
      </c>
      <c r="AH84" s="2" t="s">
        <v>536</v>
      </c>
    </row>
    <row r="85" spans="1:34" x14ac:dyDescent="0.2">
      <c r="A85" s="2">
        <v>95</v>
      </c>
      <c r="B85" s="2" t="s">
        <v>488</v>
      </c>
      <c r="C85" s="2" t="s">
        <v>491</v>
      </c>
      <c r="D85" s="2" t="s">
        <v>135</v>
      </c>
      <c r="E85" s="2" t="s">
        <v>106</v>
      </c>
      <c r="F85" s="2" t="s">
        <v>80</v>
      </c>
      <c r="G85" s="2">
        <v>25</v>
      </c>
      <c r="H85" s="2">
        <v>85</v>
      </c>
      <c r="I85" s="4">
        <v>17.907</v>
      </c>
      <c r="J85" s="4">
        <f>0.239999999999998*SQRT(2)</f>
        <v>0.33941125496954</v>
      </c>
      <c r="K85" s="2">
        <v>2</v>
      </c>
      <c r="L85" s="4">
        <v>13.961</v>
      </c>
      <c r="M85" s="4">
        <f>1.701*SQRT(2)</f>
        <v>2.4055772695966349</v>
      </c>
      <c r="N85" s="2">
        <v>2</v>
      </c>
      <c r="O85" s="2" t="s">
        <v>95</v>
      </c>
      <c r="P85" s="2" t="s">
        <v>34</v>
      </c>
      <c r="R85" s="2" t="s">
        <v>73</v>
      </c>
      <c r="S85" s="2" t="s">
        <v>73</v>
      </c>
      <c r="T85" s="2">
        <v>15</v>
      </c>
      <c r="V85" s="2">
        <v>100</v>
      </c>
      <c r="W85" s="2" t="s">
        <v>73</v>
      </c>
      <c r="X85" s="2">
        <v>16</v>
      </c>
      <c r="Y85" s="2">
        <v>20</v>
      </c>
      <c r="Z85" s="2" t="s">
        <v>89</v>
      </c>
      <c r="AC85" s="2" t="s">
        <v>116</v>
      </c>
      <c r="AF85" s="2" t="s">
        <v>189</v>
      </c>
      <c r="AG85" s="2" t="s">
        <v>87</v>
      </c>
      <c r="AH85" s="2" t="s">
        <v>535</v>
      </c>
    </row>
    <row r="86" spans="1:34" x14ac:dyDescent="0.2">
      <c r="A86" s="2">
        <v>96</v>
      </c>
      <c r="B86" s="2" t="s">
        <v>488</v>
      </c>
      <c r="C86" s="2" t="s">
        <v>491</v>
      </c>
      <c r="D86" s="2" t="s">
        <v>135</v>
      </c>
      <c r="E86" s="2" t="s">
        <v>106</v>
      </c>
      <c r="F86" s="2" t="s">
        <v>80</v>
      </c>
      <c r="G86" s="2">
        <v>25</v>
      </c>
      <c r="H86" s="2">
        <v>85</v>
      </c>
      <c r="I86" s="4">
        <v>12.085000000000001</v>
      </c>
      <c r="J86" s="4">
        <f>0.415999999999999*SQRT(2)</f>
        <v>0.58831284194720612</v>
      </c>
      <c r="K86" s="2">
        <v>2</v>
      </c>
      <c r="L86" s="4">
        <v>9.7309999999999999</v>
      </c>
      <c r="M86" s="4">
        <f>1.096*SQRT(2)</f>
        <v>1.5499780643609125</v>
      </c>
      <c r="N86" s="2">
        <v>2</v>
      </c>
      <c r="O86" s="2" t="s">
        <v>95</v>
      </c>
      <c r="P86" s="2" t="s">
        <v>34</v>
      </c>
      <c r="R86" s="2" t="s">
        <v>73</v>
      </c>
      <c r="S86" s="2" t="s">
        <v>73</v>
      </c>
      <c r="T86" s="2">
        <v>15</v>
      </c>
      <c r="V86" s="2">
        <v>300</v>
      </c>
      <c r="W86" s="2" t="s">
        <v>73</v>
      </c>
      <c r="X86" s="2">
        <v>16</v>
      </c>
      <c r="Y86" s="2">
        <v>20</v>
      </c>
      <c r="Z86" s="2" t="s">
        <v>89</v>
      </c>
      <c r="AC86" s="2" t="s">
        <v>116</v>
      </c>
      <c r="AF86" s="2" t="s">
        <v>189</v>
      </c>
      <c r="AG86" s="2" t="s">
        <v>87</v>
      </c>
      <c r="AH86" s="2" t="s">
        <v>536</v>
      </c>
    </row>
    <row r="87" spans="1:34" x14ac:dyDescent="0.2">
      <c r="A87" s="2">
        <v>97</v>
      </c>
      <c r="B87" s="2" t="s">
        <v>492</v>
      </c>
      <c r="C87" s="2" t="s">
        <v>493</v>
      </c>
      <c r="D87" s="2" t="s">
        <v>92</v>
      </c>
      <c r="E87" s="2" t="s">
        <v>150</v>
      </c>
      <c r="F87" s="2" t="s">
        <v>78</v>
      </c>
      <c r="G87" s="2">
        <v>10.8</v>
      </c>
      <c r="H87" s="2">
        <v>1032.3</v>
      </c>
      <c r="I87" s="4">
        <v>417.94</v>
      </c>
      <c r="J87" s="4">
        <v>53.091000000000008</v>
      </c>
      <c r="K87" s="6">
        <v>5</v>
      </c>
      <c r="L87" s="4">
        <v>138.55099999999999</v>
      </c>
      <c r="M87" s="4">
        <v>40.844999999999999</v>
      </c>
      <c r="N87" s="2">
        <v>5</v>
      </c>
      <c r="O87" s="2" t="s">
        <v>95</v>
      </c>
      <c r="R87" s="2" t="s">
        <v>73</v>
      </c>
      <c r="S87" s="2" t="s">
        <v>73</v>
      </c>
      <c r="T87" s="2">
        <v>17</v>
      </c>
      <c r="V87" s="2">
        <v>450</v>
      </c>
      <c r="Y87" s="2">
        <v>7</v>
      </c>
      <c r="Z87" s="2" t="s">
        <v>98</v>
      </c>
      <c r="AC87" s="2" t="s">
        <v>610</v>
      </c>
      <c r="AF87" s="2" t="s">
        <v>189</v>
      </c>
      <c r="AG87" s="2" t="s">
        <v>87</v>
      </c>
      <c r="AH87" s="2" t="s">
        <v>537</v>
      </c>
    </row>
    <row r="88" spans="1:34" x14ac:dyDescent="0.2">
      <c r="A88" s="2">
        <v>98</v>
      </c>
      <c r="B88" s="2" t="s">
        <v>492</v>
      </c>
      <c r="C88" s="2" t="s">
        <v>493</v>
      </c>
      <c r="D88" s="2" t="s">
        <v>92</v>
      </c>
      <c r="E88" s="2" t="s">
        <v>150</v>
      </c>
      <c r="F88" s="2" t="s">
        <v>80</v>
      </c>
      <c r="G88" s="2">
        <v>10.8</v>
      </c>
      <c r="H88" s="2">
        <v>1032.3</v>
      </c>
      <c r="I88" s="4">
        <v>5.6470000000000002</v>
      </c>
      <c r="J88" s="4">
        <v>0.12800000000000011</v>
      </c>
      <c r="K88" s="6">
        <v>5</v>
      </c>
      <c r="L88" s="4">
        <v>6.63</v>
      </c>
      <c r="M88" s="4">
        <v>0.55400000000000027</v>
      </c>
      <c r="N88" s="2">
        <v>5</v>
      </c>
      <c r="O88" s="2" t="s">
        <v>95</v>
      </c>
      <c r="R88" s="2" t="s">
        <v>73</v>
      </c>
      <c r="S88" s="2" t="s">
        <v>73</v>
      </c>
      <c r="T88" s="2">
        <v>17</v>
      </c>
      <c r="V88" s="2">
        <v>450</v>
      </c>
      <c r="Y88" s="2">
        <v>7</v>
      </c>
      <c r="Z88" s="2" t="s">
        <v>98</v>
      </c>
      <c r="AC88" s="2" t="s">
        <v>610</v>
      </c>
      <c r="AF88" s="2" t="s">
        <v>189</v>
      </c>
      <c r="AG88" s="2" t="s">
        <v>87</v>
      </c>
      <c r="AH88" s="2" t="s">
        <v>537</v>
      </c>
    </row>
    <row r="89" spans="1:34" x14ac:dyDescent="0.2">
      <c r="A89" s="2">
        <v>99</v>
      </c>
      <c r="B89" s="2" t="s">
        <v>492</v>
      </c>
      <c r="C89" s="2" t="s">
        <v>376</v>
      </c>
      <c r="D89" s="2" t="s">
        <v>92</v>
      </c>
      <c r="E89" s="2" t="s">
        <v>150</v>
      </c>
      <c r="F89" s="2" t="s">
        <v>78</v>
      </c>
      <c r="G89" s="2">
        <v>10.8</v>
      </c>
      <c r="H89" s="2">
        <v>1032.3</v>
      </c>
      <c r="I89" s="4">
        <v>201.19800000000001</v>
      </c>
      <c r="J89" s="4">
        <v>79.47</v>
      </c>
      <c r="K89" s="6">
        <v>5</v>
      </c>
      <c r="L89" s="4">
        <v>223.53800000000001</v>
      </c>
      <c r="M89" s="4">
        <v>128.38999999999999</v>
      </c>
      <c r="N89" s="2">
        <v>5</v>
      </c>
      <c r="O89" s="2" t="s">
        <v>95</v>
      </c>
      <c r="R89" s="2" t="s">
        <v>73</v>
      </c>
      <c r="S89" s="2" t="s">
        <v>73</v>
      </c>
      <c r="T89" s="2">
        <v>17</v>
      </c>
      <c r="V89" s="2">
        <v>450</v>
      </c>
      <c r="Y89" s="2">
        <v>7</v>
      </c>
      <c r="Z89" s="2" t="s">
        <v>98</v>
      </c>
      <c r="AC89" s="2" t="s">
        <v>610</v>
      </c>
      <c r="AF89" s="2" t="s">
        <v>189</v>
      </c>
      <c r="AG89" s="2" t="s">
        <v>87</v>
      </c>
      <c r="AH89" s="2" t="s">
        <v>537</v>
      </c>
    </row>
    <row r="90" spans="1:34" x14ac:dyDescent="0.2">
      <c r="A90" s="2">
        <v>100</v>
      </c>
      <c r="B90" s="2" t="s">
        <v>492</v>
      </c>
      <c r="C90" s="2" t="s">
        <v>376</v>
      </c>
      <c r="D90" s="2" t="s">
        <v>92</v>
      </c>
      <c r="E90" s="2" t="s">
        <v>150</v>
      </c>
      <c r="F90" s="2" t="s">
        <v>80</v>
      </c>
      <c r="G90" s="2">
        <v>10.8</v>
      </c>
      <c r="H90" s="2">
        <v>1032.3</v>
      </c>
      <c r="I90" s="4">
        <v>5.9039999999999999</v>
      </c>
      <c r="J90" s="4">
        <v>0.17999999999999972</v>
      </c>
      <c r="K90" s="6">
        <v>5</v>
      </c>
      <c r="L90" s="4">
        <v>5.7990000000000004</v>
      </c>
      <c r="M90" s="4">
        <v>0.41500000000000004</v>
      </c>
      <c r="N90" s="2">
        <v>5</v>
      </c>
      <c r="O90" s="2" t="s">
        <v>95</v>
      </c>
      <c r="R90" s="2" t="s">
        <v>73</v>
      </c>
      <c r="S90" s="2" t="s">
        <v>73</v>
      </c>
      <c r="T90" s="2">
        <v>17</v>
      </c>
      <c r="V90" s="2">
        <v>450</v>
      </c>
      <c r="Y90" s="2">
        <v>7</v>
      </c>
      <c r="Z90" s="2" t="s">
        <v>98</v>
      </c>
      <c r="AC90" s="2" t="s">
        <v>610</v>
      </c>
      <c r="AF90" s="2" t="s">
        <v>189</v>
      </c>
      <c r="AG90" s="2" t="s">
        <v>87</v>
      </c>
      <c r="AH90" s="2" t="s">
        <v>537</v>
      </c>
    </row>
    <row r="91" spans="1:34" x14ac:dyDescent="0.2">
      <c r="A91" s="2">
        <v>101</v>
      </c>
      <c r="B91" s="2" t="s">
        <v>505</v>
      </c>
      <c r="C91" s="2" t="s">
        <v>509</v>
      </c>
      <c r="D91" s="2" t="s">
        <v>84</v>
      </c>
      <c r="E91" s="2" t="s">
        <v>85</v>
      </c>
      <c r="F91" s="2" t="s">
        <v>80</v>
      </c>
      <c r="G91" s="2">
        <v>11</v>
      </c>
      <c r="H91" s="2">
        <v>886</v>
      </c>
      <c r="I91" s="4">
        <v>8.117647058823529</v>
      </c>
      <c r="J91" s="4">
        <v>0.76032341048912933</v>
      </c>
      <c r="K91" s="2">
        <v>3</v>
      </c>
      <c r="L91" s="4">
        <v>6.3566878980891719</v>
      </c>
      <c r="M91" s="4">
        <v>1.2880654274352763</v>
      </c>
      <c r="N91" s="2">
        <v>3</v>
      </c>
      <c r="O91" s="2" t="s">
        <v>95</v>
      </c>
      <c r="P91" s="2" t="s">
        <v>616</v>
      </c>
      <c r="R91" s="2" t="s">
        <v>73</v>
      </c>
      <c r="S91" s="2" t="s">
        <v>73</v>
      </c>
      <c r="T91" s="2">
        <v>10</v>
      </c>
      <c r="V91" s="2">
        <v>150</v>
      </c>
      <c r="W91" s="2" t="s">
        <v>73</v>
      </c>
      <c r="Y91" s="2">
        <v>12</v>
      </c>
      <c r="Z91" s="2" t="s">
        <v>98</v>
      </c>
      <c r="AA91" s="2">
        <v>10</v>
      </c>
      <c r="AC91" s="2" t="s">
        <v>116</v>
      </c>
      <c r="AF91" s="2" t="s">
        <v>360</v>
      </c>
      <c r="AG91" s="2" t="s">
        <v>87</v>
      </c>
      <c r="AH91" s="2" t="s">
        <v>538</v>
      </c>
    </row>
    <row r="92" spans="1:34" x14ac:dyDescent="0.2">
      <c r="A92" s="2">
        <v>102</v>
      </c>
      <c r="B92" s="2" t="s">
        <v>514</v>
      </c>
      <c r="C92" s="2" t="s">
        <v>471</v>
      </c>
      <c r="D92" s="2" t="s">
        <v>70</v>
      </c>
      <c r="E92" s="2" t="s">
        <v>71</v>
      </c>
      <c r="F92" s="2" t="s">
        <v>78</v>
      </c>
      <c r="G92" s="2">
        <v>88</v>
      </c>
      <c r="H92" s="2">
        <v>880</v>
      </c>
      <c r="I92" s="4">
        <v>537.58299999999997</v>
      </c>
      <c r="J92" s="4">
        <v>158.55799999999999</v>
      </c>
      <c r="K92" s="2">
        <v>3</v>
      </c>
      <c r="L92" s="4">
        <v>368.13499999999999</v>
      </c>
      <c r="M92" s="4">
        <v>101.709</v>
      </c>
      <c r="N92" s="2">
        <v>3</v>
      </c>
      <c r="O92" s="2" t="s">
        <v>75</v>
      </c>
      <c r="P92" s="2" t="s">
        <v>616</v>
      </c>
      <c r="R92" s="2" t="s">
        <v>73</v>
      </c>
      <c r="S92" s="2" t="s">
        <v>73</v>
      </c>
      <c r="T92" s="2">
        <v>23</v>
      </c>
      <c r="V92" s="2">
        <v>30</v>
      </c>
      <c r="W92" s="2" t="s">
        <v>73</v>
      </c>
      <c r="X92" s="2">
        <v>12</v>
      </c>
      <c r="Y92" s="2">
        <v>33</v>
      </c>
      <c r="Z92" s="2" t="s">
        <v>98</v>
      </c>
      <c r="AB92" s="2" t="s">
        <v>73</v>
      </c>
      <c r="AC92" s="2" t="s">
        <v>116</v>
      </c>
      <c r="AF92" s="2" t="s">
        <v>123</v>
      </c>
      <c r="AG92" s="2" t="s">
        <v>87</v>
      </c>
      <c r="AH92" s="2" t="s">
        <v>371</v>
      </c>
    </row>
    <row r="93" spans="1:34" x14ac:dyDescent="0.2">
      <c r="A93" s="2">
        <v>103</v>
      </c>
      <c r="B93" s="2" t="s">
        <v>514</v>
      </c>
      <c r="C93" s="2" t="s">
        <v>471</v>
      </c>
      <c r="D93" s="2" t="s">
        <v>70</v>
      </c>
      <c r="E93" s="2" t="s">
        <v>71</v>
      </c>
      <c r="F93" s="2" t="s">
        <v>80</v>
      </c>
      <c r="G93" s="2">
        <v>88</v>
      </c>
      <c r="H93" s="2">
        <v>880</v>
      </c>
      <c r="I93" s="4">
        <v>82.253</v>
      </c>
      <c r="J93" s="4">
        <v>11.777000000000001</v>
      </c>
      <c r="K93" s="2">
        <v>3</v>
      </c>
      <c r="L93" s="4">
        <v>46.603999999999999</v>
      </c>
      <c r="M93" s="4">
        <v>12.131999999999998</v>
      </c>
      <c r="N93" s="2">
        <v>3</v>
      </c>
      <c r="O93" s="2" t="s">
        <v>75</v>
      </c>
      <c r="P93" s="2" t="s">
        <v>616</v>
      </c>
      <c r="R93" s="2" t="s">
        <v>73</v>
      </c>
      <c r="S93" s="2" t="s">
        <v>73</v>
      </c>
      <c r="T93" s="2">
        <v>23</v>
      </c>
      <c r="V93" s="2">
        <v>30</v>
      </c>
      <c r="W93" s="2" t="s">
        <v>73</v>
      </c>
      <c r="X93" s="2">
        <v>12</v>
      </c>
      <c r="Y93" s="2">
        <v>33</v>
      </c>
      <c r="Z93" s="2" t="s">
        <v>98</v>
      </c>
      <c r="AB93" s="2" t="s">
        <v>73</v>
      </c>
      <c r="AC93" s="2" t="s">
        <v>116</v>
      </c>
      <c r="AF93" s="2" t="s">
        <v>123</v>
      </c>
      <c r="AG93" s="2" t="s">
        <v>87</v>
      </c>
      <c r="AH93" s="2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5E9B-D02D-F94D-A1B0-E8CA9B1EE4A1}">
  <sheetPr codeName="Sheet4"/>
  <dimension ref="A1:AF103"/>
  <sheetViews>
    <sheetView topLeftCell="A59" workbookViewId="0">
      <selection activeCell="A2" sqref="A2:A103"/>
    </sheetView>
  </sheetViews>
  <sheetFormatPr baseColWidth="10" defaultRowHeight="14" x14ac:dyDescent="0.2"/>
  <cols>
    <col min="1" max="1" width="10.83203125" style="2"/>
    <col min="2" max="2" width="14.33203125" style="2" customWidth="1"/>
    <col min="3" max="3" width="26.6640625" style="2" bestFit="1" customWidth="1"/>
    <col min="4" max="4" width="10.83203125" style="2" bestFit="1" customWidth="1"/>
    <col min="5" max="5" width="3.6640625" style="2" bestFit="1" customWidth="1"/>
    <col min="6" max="6" width="6.6640625" style="2" bestFit="1" customWidth="1"/>
    <col min="7" max="7" width="5.83203125" style="4" bestFit="1" customWidth="1"/>
    <col min="8" max="8" width="4.1640625" style="4" bestFit="1" customWidth="1"/>
    <col min="9" max="9" width="2.83203125" style="2" bestFit="1" customWidth="1"/>
    <col min="10" max="11" width="5" style="4" bestFit="1" customWidth="1"/>
    <col min="12" max="12" width="2.6640625" style="2" bestFit="1" customWidth="1"/>
    <col min="13" max="13" width="5.1640625" style="2" bestFit="1" customWidth="1"/>
    <col min="14" max="14" width="5.1640625" style="2" customWidth="1"/>
    <col min="15" max="15" width="3.5" style="2" bestFit="1" customWidth="1"/>
    <col min="16" max="16" width="4.83203125" style="2" bestFit="1" customWidth="1"/>
    <col min="17" max="17" width="5" style="2" bestFit="1" customWidth="1"/>
    <col min="18" max="18" width="2.83203125" style="2" bestFit="1" customWidth="1"/>
    <col min="19" max="19" width="5.33203125" style="2" bestFit="1" customWidth="1"/>
    <col min="20" max="20" width="3.6640625" style="2" bestFit="1" customWidth="1"/>
    <col min="21" max="21" width="4.5" style="2" bestFit="1" customWidth="1"/>
    <col min="22" max="22" width="2.83203125" style="2" bestFit="1" customWidth="1"/>
    <col min="23" max="23" width="4.5" style="2" bestFit="1" customWidth="1"/>
    <col min="24" max="24" width="6.83203125" style="2" bestFit="1" customWidth="1"/>
    <col min="25" max="25" width="9.1640625" style="2" bestFit="1" customWidth="1"/>
    <col min="26" max="26" width="5.5" style="2" bestFit="1" customWidth="1"/>
    <col min="27" max="27" width="5.1640625" style="2" bestFit="1" customWidth="1"/>
    <col min="28" max="28" width="7.5" style="2" bestFit="1" customWidth="1"/>
    <col min="29" max="29" width="3.5" style="2" bestFit="1" customWidth="1"/>
    <col min="30" max="30" width="6.6640625" style="2" bestFit="1" customWidth="1"/>
    <col min="31" max="31" width="8" style="2" bestFit="1" customWidth="1"/>
    <col min="32" max="32" width="5" style="2" bestFit="1" customWidth="1"/>
    <col min="33" max="16384" width="10.83203125" style="2"/>
  </cols>
  <sheetData>
    <row r="1" spans="1:32" x14ac:dyDescent="0.2">
      <c r="A1" s="2" t="s">
        <v>606</v>
      </c>
      <c r="B1" s="2" t="s">
        <v>10</v>
      </c>
      <c r="C1" s="2" t="s">
        <v>12</v>
      </c>
      <c r="D1" s="2" t="s">
        <v>15</v>
      </c>
      <c r="E1" s="2" t="s">
        <v>54</v>
      </c>
      <c r="F1" s="2" t="s">
        <v>77</v>
      </c>
      <c r="G1" s="4" t="s">
        <v>21</v>
      </c>
      <c r="H1" s="4" t="s">
        <v>23</v>
      </c>
      <c r="I1" s="2" t="s">
        <v>25</v>
      </c>
      <c r="J1" s="4" t="s">
        <v>27</v>
      </c>
      <c r="K1" s="4" t="s">
        <v>28</v>
      </c>
      <c r="L1" s="2" t="s">
        <v>29</v>
      </c>
      <c r="M1" s="2" t="s">
        <v>8</v>
      </c>
      <c r="N1" s="2" t="s">
        <v>604</v>
      </c>
      <c r="O1" s="2" t="s">
        <v>48</v>
      </c>
      <c r="P1" s="2" t="s">
        <v>62</v>
      </c>
      <c r="Q1" s="2" t="s">
        <v>63</v>
      </c>
      <c r="R1" s="2" t="s">
        <v>608</v>
      </c>
      <c r="S1" s="2" t="s">
        <v>41</v>
      </c>
      <c r="T1" s="2" t="s">
        <v>33</v>
      </c>
      <c r="U1" s="2" t="s">
        <v>113</v>
      </c>
      <c r="V1" s="2" t="s">
        <v>36</v>
      </c>
      <c r="W1" s="2" t="s">
        <v>34</v>
      </c>
      <c r="X1" s="2" t="s">
        <v>57</v>
      </c>
      <c r="Y1" s="2" t="s">
        <v>58</v>
      </c>
      <c r="Z1" s="2" t="s">
        <v>96</v>
      </c>
      <c r="AA1" s="2" t="s">
        <v>115</v>
      </c>
      <c r="AB1" s="2" t="s">
        <v>44</v>
      </c>
      <c r="AC1" s="2" t="s">
        <v>46</v>
      </c>
      <c r="AD1" s="2" t="s">
        <v>50</v>
      </c>
      <c r="AE1" s="2" t="s">
        <v>52</v>
      </c>
      <c r="AF1" s="2" t="s">
        <v>59</v>
      </c>
    </row>
    <row r="2" spans="1:32" x14ac:dyDescent="0.2">
      <c r="A2" s="2">
        <v>1</v>
      </c>
      <c r="B2" s="2" t="s">
        <v>166</v>
      </c>
      <c r="C2" s="2" t="s">
        <v>167</v>
      </c>
      <c r="D2" s="2" t="s">
        <v>92</v>
      </c>
      <c r="E2" s="2" t="s">
        <v>150</v>
      </c>
      <c r="F2" s="2" t="s">
        <v>78</v>
      </c>
      <c r="G2" s="4">
        <v>58</v>
      </c>
      <c r="H2" s="4">
        <v>11</v>
      </c>
      <c r="I2" s="2">
        <v>4</v>
      </c>
      <c r="J2" s="4">
        <v>156</v>
      </c>
      <c r="K2" s="4">
        <v>25</v>
      </c>
      <c r="L2" s="2">
        <v>12</v>
      </c>
      <c r="M2" s="2" t="s">
        <v>95</v>
      </c>
      <c r="N2" s="2" t="s">
        <v>616</v>
      </c>
      <c r="P2" s="2" t="s">
        <v>73</v>
      </c>
      <c r="Q2" s="2" t="s">
        <v>73</v>
      </c>
      <c r="R2" s="2">
        <v>26</v>
      </c>
      <c r="T2" s="2">
        <v>85</v>
      </c>
      <c r="U2" s="2" t="s">
        <v>73</v>
      </c>
      <c r="V2" s="2">
        <v>12</v>
      </c>
      <c r="X2" s="2" t="s">
        <v>89</v>
      </c>
      <c r="AA2" s="2" t="s">
        <v>152</v>
      </c>
      <c r="AD2" s="2" t="s">
        <v>142</v>
      </c>
      <c r="AE2" s="2" t="s">
        <v>73</v>
      </c>
      <c r="AF2" s="2" t="s">
        <v>530</v>
      </c>
    </row>
    <row r="3" spans="1:32" x14ac:dyDescent="0.2">
      <c r="A3" s="2">
        <v>2</v>
      </c>
      <c r="B3" s="2" t="s">
        <v>166</v>
      </c>
      <c r="C3" s="2" t="s">
        <v>167</v>
      </c>
      <c r="D3" s="2" t="s">
        <v>92</v>
      </c>
      <c r="E3" s="2" t="s">
        <v>150</v>
      </c>
      <c r="F3" s="2" t="s">
        <v>80</v>
      </c>
      <c r="G3" s="4">
        <v>12</v>
      </c>
      <c r="H3" s="4">
        <v>4</v>
      </c>
      <c r="I3" s="2">
        <v>4</v>
      </c>
      <c r="J3" s="4">
        <v>156</v>
      </c>
      <c r="K3" s="4">
        <v>25</v>
      </c>
      <c r="L3" s="2">
        <v>12</v>
      </c>
      <c r="M3" s="2" t="s">
        <v>95</v>
      </c>
      <c r="N3" s="2" t="s">
        <v>616</v>
      </c>
      <c r="P3" s="2" t="s">
        <v>73</v>
      </c>
      <c r="Q3" s="2" t="s">
        <v>73</v>
      </c>
      <c r="R3" s="2">
        <v>26</v>
      </c>
      <c r="T3" s="2">
        <v>85</v>
      </c>
      <c r="U3" s="2" t="s">
        <v>73</v>
      </c>
      <c r="V3" s="2">
        <v>12</v>
      </c>
      <c r="X3" s="2" t="s">
        <v>89</v>
      </c>
      <c r="AA3" s="2" t="s">
        <v>152</v>
      </c>
      <c r="AD3" s="2" t="s">
        <v>142</v>
      </c>
      <c r="AE3" s="2" t="s">
        <v>73</v>
      </c>
      <c r="AF3" s="2" t="s">
        <v>530</v>
      </c>
    </row>
    <row r="4" spans="1:32" x14ac:dyDescent="0.2">
      <c r="A4" s="2">
        <v>3</v>
      </c>
      <c r="B4" s="2" t="s">
        <v>136</v>
      </c>
      <c r="C4" s="2" t="s">
        <v>137</v>
      </c>
      <c r="D4" s="2" t="s">
        <v>92</v>
      </c>
      <c r="E4" s="2" t="s">
        <v>93</v>
      </c>
      <c r="F4" s="2" t="s">
        <v>78</v>
      </c>
      <c r="G4" s="4">
        <v>300</v>
      </c>
      <c r="H4" s="4">
        <v>12.876372505662879</v>
      </c>
      <c r="I4" s="2">
        <v>3</v>
      </c>
      <c r="J4" s="4">
        <v>870</v>
      </c>
      <c r="K4" s="4">
        <v>152.82417868857249</v>
      </c>
      <c r="L4" s="2">
        <v>3</v>
      </c>
      <c r="M4" s="2" t="s">
        <v>75</v>
      </c>
      <c r="P4" s="2" t="s">
        <v>73</v>
      </c>
      <c r="Q4" s="2" t="s">
        <v>73</v>
      </c>
      <c r="R4" s="2">
        <v>22</v>
      </c>
      <c r="T4" s="2">
        <v>50</v>
      </c>
      <c r="U4" s="2" t="s">
        <v>73</v>
      </c>
      <c r="V4" s="2">
        <v>12</v>
      </c>
      <c r="X4" s="2" t="s">
        <v>89</v>
      </c>
      <c r="Y4" s="2">
        <v>22</v>
      </c>
      <c r="AA4" s="2" t="s">
        <v>116</v>
      </c>
      <c r="AD4" s="2" t="s">
        <v>138</v>
      </c>
      <c r="AE4" s="2" t="s">
        <v>73</v>
      </c>
      <c r="AF4" s="2" t="s">
        <v>139</v>
      </c>
    </row>
    <row r="5" spans="1:32" x14ac:dyDescent="0.2">
      <c r="A5" s="2">
        <v>4</v>
      </c>
      <c r="B5" s="2" t="s">
        <v>136</v>
      </c>
      <c r="C5" s="2" t="s">
        <v>137</v>
      </c>
      <c r="D5" s="2" t="s">
        <v>92</v>
      </c>
      <c r="E5" s="2" t="s">
        <v>93</v>
      </c>
      <c r="F5" s="2" t="s">
        <v>80</v>
      </c>
      <c r="G5" s="4">
        <v>4.225352112676056</v>
      </c>
      <c r="H5" s="4">
        <v>0.34389585641942705</v>
      </c>
      <c r="I5" s="2">
        <v>3</v>
      </c>
      <c r="J5" s="4">
        <v>3.4387351778656128</v>
      </c>
      <c r="K5" s="4">
        <v>0.51173904631719414</v>
      </c>
      <c r="L5" s="2">
        <v>3</v>
      </c>
      <c r="M5" s="2" t="s">
        <v>75</v>
      </c>
      <c r="P5" s="2" t="s">
        <v>73</v>
      </c>
      <c r="Q5" s="2" t="s">
        <v>73</v>
      </c>
      <c r="R5" s="2">
        <v>22</v>
      </c>
      <c r="T5" s="2">
        <v>50</v>
      </c>
      <c r="U5" s="2" t="s">
        <v>73</v>
      </c>
      <c r="V5" s="2">
        <v>12</v>
      </c>
      <c r="X5" s="2" t="s">
        <v>89</v>
      </c>
      <c r="Y5" s="2">
        <v>22</v>
      </c>
      <c r="AA5" s="2" t="s">
        <v>116</v>
      </c>
      <c r="AD5" s="2" t="s">
        <v>138</v>
      </c>
      <c r="AE5" s="2" t="s">
        <v>73</v>
      </c>
      <c r="AF5" s="2" t="s">
        <v>139</v>
      </c>
    </row>
    <row r="6" spans="1:32" x14ac:dyDescent="0.2">
      <c r="A6" s="2">
        <v>5</v>
      </c>
      <c r="B6" s="2" t="s">
        <v>154</v>
      </c>
      <c r="C6" s="2" t="s">
        <v>155</v>
      </c>
      <c r="D6" s="2" t="s">
        <v>84</v>
      </c>
      <c r="E6" s="2" t="s">
        <v>85</v>
      </c>
      <c r="F6" s="2" t="s">
        <v>80</v>
      </c>
      <c r="G6" s="4">
        <v>8.7819705584348249</v>
      </c>
      <c r="H6" s="4">
        <v>0.22652904239779789</v>
      </c>
      <c r="I6" s="2">
        <v>4</v>
      </c>
      <c r="J6" s="4">
        <v>13.488429859646924</v>
      </c>
      <c r="K6" s="4">
        <v>1.0197642820806388E-2</v>
      </c>
      <c r="L6" s="2">
        <v>4</v>
      </c>
      <c r="M6" s="2" t="s">
        <v>95</v>
      </c>
      <c r="N6" s="2" t="s">
        <v>616</v>
      </c>
      <c r="P6" s="2" t="s">
        <v>73</v>
      </c>
      <c r="Q6" s="2" t="s">
        <v>73</v>
      </c>
      <c r="R6" s="2">
        <v>20</v>
      </c>
      <c r="T6" s="2">
        <v>7.5</v>
      </c>
      <c r="U6" s="2" t="s">
        <v>87</v>
      </c>
      <c r="V6" s="2">
        <v>14</v>
      </c>
      <c r="X6" s="2" t="s">
        <v>89</v>
      </c>
      <c r="Y6" s="2">
        <v>10</v>
      </c>
      <c r="AA6" s="2" t="s">
        <v>116</v>
      </c>
      <c r="AD6" s="2" t="s">
        <v>156</v>
      </c>
      <c r="AE6" s="2" t="s">
        <v>73</v>
      </c>
      <c r="AF6" s="2" t="s">
        <v>157</v>
      </c>
    </row>
    <row r="7" spans="1:32" x14ac:dyDescent="0.2">
      <c r="A7" s="2">
        <v>6</v>
      </c>
      <c r="B7" s="2" t="s">
        <v>154</v>
      </c>
      <c r="C7" s="2" t="s">
        <v>155</v>
      </c>
      <c r="D7" s="2" t="s">
        <v>84</v>
      </c>
      <c r="E7" s="2" t="s">
        <v>85</v>
      </c>
      <c r="F7" s="2" t="s">
        <v>80</v>
      </c>
      <c r="G7" s="4">
        <v>9.5578000796264817</v>
      </c>
      <c r="H7" s="4">
        <v>1.3917260032801531</v>
      </c>
      <c r="I7" s="2">
        <v>7</v>
      </c>
      <c r="J7" s="4">
        <v>10.963530620496494</v>
      </c>
      <c r="K7" s="4">
        <v>3.493537010566522E-2</v>
      </c>
      <c r="L7" s="2">
        <v>4</v>
      </c>
      <c r="M7" s="2" t="s">
        <v>95</v>
      </c>
      <c r="N7" s="2" t="s">
        <v>616</v>
      </c>
      <c r="P7" s="2" t="s">
        <v>73</v>
      </c>
      <c r="Q7" s="2" t="s">
        <v>73</v>
      </c>
      <c r="R7" s="2">
        <v>20</v>
      </c>
      <c r="T7" s="2">
        <v>75</v>
      </c>
      <c r="U7" s="2" t="s">
        <v>73</v>
      </c>
      <c r="V7" s="2">
        <v>14</v>
      </c>
      <c r="X7" s="2" t="s">
        <v>89</v>
      </c>
      <c r="Y7" s="2">
        <v>10</v>
      </c>
      <c r="AA7" s="2" t="s">
        <v>116</v>
      </c>
      <c r="AD7" s="2" t="s">
        <v>156</v>
      </c>
      <c r="AE7" s="2" t="s">
        <v>73</v>
      </c>
      <c r="AF7" s="2" t="s">
        <v>158</v>
      </c>
    </row>
    <row r="8" spans="1:32" x14ac:dyDescent="0.2">
      <c r="A8" s="2">
        <v>7</v>
      </c>
      <c r="B8" s="2" t="s">
        <v>154</v>
      </c>
      <c r="C8" s="2" t="s">
        <v>159</v>
      </c>
      <c r="D8" s="2" t="s">
        <v>84</v>
      </c>
      <c r="E8" s="2" t="s">
        <v>85</v>
      </c>
      <c r="F8" s="2" t="s">
        <v>80</v>
      </c>
      <c r="G8" s="4">
        <v>6.3161865636445107</v>
      </c>
      <c r="H8" s="4">
        <v>6.4582519874206322E-3</v>
      </c>
      <c r="I8" s="2">
        <v>4</v>
      </c>
      <c r="J8" s="4">
        <v>5.5328738264020014</v>
      </c>
      <c r="K8" s="4">
        <v>2.6613681179055563E-3</v>
      </c>
      <c r="L8" s="2">
        <v>6</v>
      </c>
      <c r="M8" s="2" t="s">
        <v>95</v>
      </c>
      <c r="N8" s="2" t="s">
        <v>616</v>
      </c>
      <c r="P8" s="2" t="s">
        <v>73</v>
      </c>
      <c r="Q8" s="2" t="s">
        <v>73</v>
      </c>
      <c r="R8" s="2">
        <v>20</v>
      </c>
      <c r="T8" s="2">
        <v>7.5</v>
      </c>
      <c r="U8" s="2" t="s">
        <v>87</v>
      </c>
      <c r="V8" s="2">
        <v>14</v>
      </c>
      <c r="X8" s="2" t="s">
        <v>89</v>
      </c>
      <c r="Y8" s="2">
        <v>10</v>
      </c>
      <c r="AA8" s="2" t="s">
        <v>116</v>
      </c>
      <c r="AD8" s="2" t="s">
        <v>156</v>
      </c>
      <c r="AE8" s="2" t="s">
        <v>73</v>
      </c>
      <c r="AF8" s="2" t="s">
        <v>157</v>
      </c>
    </row>
    <row r="9" spans="1:32" x14ac:dyDescent="0.2">
      <c r="A9" s="2">
        <v>8</v>
      </c>
      <c r="B9" s="2" t="s">
        <v>154</v>
      </c>
      <c r="C9" s="2" t="s">
        <v>159</v>
      </c>
      <c r="D9" s="2" t="s">
        <v>84</v>
      </c>
      <c r="E9" s="2" t="s">
        <v>85</v>
      </c>
      <c r="F9" s="2" t="s">
        <v>80</v>
      </c>
      <c r="G9" s="4">
        <v>7.0254836844442954</v>
      </c>
      <c r="H9" s="4">
        <v>0.33821447795481563</v>
      </c>
      <c r="I9" s="2">
        <v>4</v>
      </c>
      <c r="J9" s="4">
        <v>5.430800744259888</v>
      </c>
      <c r="K9" s="11">
        <v>2.3121988168661855E-2</v>
      </c>
      <c r="L9" s="2">
        <v>6</v>
      </c>
      <c r="M9" s="2" t="s">
        <v>95</v>
      </c>
      <c r="N9" s="2" t="s">
        <v>616</v>
      </c>
      <c r="P9" s="2" t="s">
        <v>73</v>
      </c>
      <c r="Q9" s="2" t="s">
        <v>73</v>
      </c>
      <c r="R9" s="2">
        <v>20</v>
      </c>
      <c r="T9" s="2">
        <v>75</v>
      </c>
      <c r="U9" s="2" t="s">
        <v>73</v>
      </c>
      <c r="V9" s="2">
        <v>14</v>
      </c>
      <c r="X9" s="2" t="s">
        <v>89</v>
      </c>
      <c r="Y9" s="2">
        <v>10</v>
      </c>
      <c r="AA9" s="2" t="s">
        <v>116</v>
      </c>
      <c r="AD9" s="2" t="s">
        <v>156</v>
      </c>
      <c r="AE9" s="2" t="s">
        <v>73</v>
      </c>
      <c r="AF9" s="2" t="s">
        <v>158</v>
      </c>
    </row>
    <row r="10" spans="1:32" x14ac:dyDescent="0.2">
      <c r="A10" s="2">
        <v>9</v>
      </c>
      <c r="B10" s="2" t="s">
        <v>165</v>
      </c>
      <c r="C10" s="2" t="s">
        <v>163</v>
      </c>
      <c r="D10" s="2" t="s">
        <v>92</v>
      </c>
      <c r="E10" s="2" t="s">
        <v>93</v>
      </c>
      <c r="F10" s="2" t="s">
        <v>78</v>
      </c>
      <c r="G10" s="4">
        <v>73</v>
      </c>
      <c r="H10" s="4">
        <v>8.8000000000000007</v>
      </c>
      <c r="I10" s="2">
        <v>6</v>
      </c>
      <c r="J10" s="4">
        <v>65</v>
      </c>
      <c r="K10" s="4">
        <v>3.9</v>
      </c>
      <c r="L10" s="2">
        <v>6</v>
      </c>
      <c r="M10" s="2" t="s">
        <v>95</v>
      </c>
      <c r="N10" s="2" t="s">
        <v>616</v>
      </c>
      <c r="P10" s="2" t="s">
        <v>73</v>
      </c>
      <c r="Q10" s="2" t="s">
        <v>73</v>
      </c>
      <c r="R10" s="2">
        <v>23</v>
      </c>
      <c r="T10" s="2">
        <v>40</v>
      </c>
      <c r="U10" s="2" t="s">
        <v>73</v>
      </c>
      <c r="V10" s="2">
        <v>14</v>
      </c>
      <c r="X10" s="2" t="s">
        <v>89</v>
      </c>
      <c r="Z10" s="2" t="s">
        <v>87</v>
      </c>
      <c r="AA10" s="2" t="s">
        <v>116</v>
      </c>
      <c r="AD10" s="2" t="s">
        <v>142</v>
      </c>
      <c r="AE10" s="2" t="s">
        <v>73</v>
      </c>
      <c r="AF10" s="2" t="s">
        <v>162</v>
      </c>
    </row>
    <row r="11" spans="1:32" x14ac:dyDescent="0.2">
      <c r="A11" s="2">
        <v>10</v>
      </c>
      <c r="B11" s="2" t="s">
        <v>165</v>
      </c>
      <c r="C11" s="2" t="s">
        <v>163</v>
      </c>
      <c r="D11" s="2" t="s">
        <v>92</v>
      </c>
      <c r="E11" s="2" t="s">
        <v>93</v>
      </c>
      <c r="F11" s="2" t="s">
        <v>80</v>
      </c>
      <c r="G11" s="4">
        <v>2.2999999999999998</v>
      </c>
      <c r="H11" s="4">
        <v>0.42</v>
      </c>
      <c r="I11" s="2">
        <v>6</v>
      </c>
      <c r="J11" s="4">
        <v>3.2</v>
      </c>
      <c r="K11" s="4">
        <v>0.47</v>
      </c>
      <c r="L11" s="2">
        <v>6</v>
      </c>
      <c r="M11" s="2" t="s">
        <v>95</v>
      </c>
      <c r="N11" s="2" t="s">
        <v>616</v>
      </c>
      <c r="P11" s="2" t="s">
        <v>73</v>
      </c>
      <c r="Q11" s="2" t="s">
        <v>73</v>
      </c>
      <c r="R11" s="2">
        <v>23</v>
      </c>
      <c r="T11" s="2">
        <v>40</v>
      </c>
      <c r="U11" s="2" t="s">
        <v>73</v>
      </c>
      <c r="V11" s="2">
        <v>14</v>
      </c>
      <c r="X11" s="2" t="s">
        <v>89</v>
      </c>
      <c r="Z11" s="2" t="s">
        <v>87</v>
      </c>
      <c r="AA11" s="2" t="s">
        <v>116</v>
      </c>
      <c r="AD11" s="2" t="s">
        <v>142</v>
      </c>
      <c r="AE11" s="2" t="s">
        <v>73</v>
      </c>
      <c r="AF11" s="2" t="s">
        <v>162</v>
      </c>
    </row>
    <row r="12" spans="1:32" x14ac:dyDescent="0.2">
      <c r="A12" s="2">
        <v>11</v>
      </c>
      <c r="B12" s="2" t="s">
        <v>165</v>
      </c>
      <c r="C12" s="2" t="s">
        <v>164</v>
      </c>
      <c r="D12" s="2" t="s">
        <v>92</v>
      </c>
      <c r="E12" s="2" t="s">
        <v>93</v>
      </c>
      <c r="F12" s="2" t="s">
        <v>78</v>
      </c>
      <c r="G12" s="4">
        <v>169</v>
      </c>
      <c r="H12" s="4">
        <v>17</v>
      </c>
      <c r="I12" s="2">
        <v>6</v>
      </c>
      <c r="J12" s="4">
        <v>89</v>
      </c>
      <c r="K12" s="4">
        <v>1.7</v>
      </c>
      <c r="L12" s="2">
        <v>6</v>
      </c>
      <c r="M12" s="2" t="s">
        <v>95</v>
      </c>
      <c r="N12" s="2" t="s">
        <v>616</v>
      </c>
      <c r="P12" s="2" t="s">
        <v>73</v>
      </c>
      <c r="Q12" s="2" t="s">
        <v>73</v>
      </c>
      <c r="R12" s="2">
        <v>23</v>
      </c>
      <c r="T12" s="2">
        <v>40</v>
      </c>
      <c r="U12" s="2" t="s">
        <v>73</v>
      </c>
      <c r="V12" s="2">
        <v>14</v>
      </c>
      <c r="X12" s="2" t="s">
        <v>89</v>
      </c>
      <c r="Z12" s="2" t="s">
        <v>87</v>
      </c>
      <c r="AA12" s="2" t="s">
        <v>117</v>
      </c>
      <c r="AD12" s="2" t="s">
        <v>142</v>
      </c>
      <c r="AE12" s="2" t="s">
        <v>73</v>
      </c>
      <c r="AF12" s="2" t="s">
        <v>162</v>
      </c>
    </row>
    <row r="13" spans="1:32" x14ac:dyDescent="0.2">
      <c r="A13" s="2">
        <v>12</v>
      </c>
      <c r="B13" s="2" t="s">
        <v>165</v>
      </c>
      <c r="C13" s="2" t="s">
        <v>164</v>
      </c>
      <c r="D13" s="2" t="s">
        <v>92</v>
      </c>
      <c r="E13" s="2" t="s">
        <v>93</v>
      </c>
      <c r="F13" s="2" t="s">
        <v>80</v>
      </c>
      <c r="G13" s="4">
        <v>5.8</v>
      </c>
      <c r="H13" s="4">
        <v>0.7</v>
      </c>
      <c r="I13" s="2">
        <v>6</v>
      </c>
      <c r="J13" s="4">
        <v>5.0999999999999996</v>
      </c>
      <c r="K13" s="4">
        <v>0.11</v>
      </c>
      <c r="L13" s="2">
        <v>6</v>
      </c>
      <c r="M13" s="2" t="s">
        <v>95</v>
      </c>
      <c r="N13" s="2" t="s">
        <v>616</v>
      </c>
      <c r="P13" s="2" t="s">
        <v>73</v>
      </c>
      <c r="Q13" s="2" t="s">
        <v>73</v>
      </c>
      <c r="R13" s="2">
        <v>23</v>
      </c>
      <c r="T13" s="2">
        <v>40</v>
      </c>
      <c r="U13" s="2" t="s">
        <v>73</v>
      </c>
      <c r="V13" s="2">
        <v>14</v>
      </c>
      <c r="X13" s="2" t="s">
        <v>89</v>
      </c>
      <c r="Z13" s="2" t="s">
        <v>87</v>
      </c>
      <c r="AA13" s="2" t="s">
        <v>117</v>
      </c>
      <c r="AD13" s="2" t="s">
        <v>142</v>
      </c>
      <c r="AE13" s="2" t="s">
        <v>73</v>
      </c>
      <c r="AF13" s="2" t="s">
        <v>162</v>
      </c>
    </row>
    <row r="14" spans="1:32" x14ac:dyDescent="0.2">
      <c r="A14" s="2">
        <v>13</v>
      </c>
      <c r="B14" s="2" t="s">
        <v>619</v>
      </c>
      <c r="C14" s="2" t="s">
        <v>237</v>
      </c>
      <c r="D14" s="2" t="s">
        <v>84</v>
      </c>
      <c r="E14" s="2" t="s">
        <v>85</v>
      </c>
      <c r="F14" s="2" t="s">
        <v>80</v>
      </c>
      <c r="G14" s="4">
        <v>9.1</v>
      </c>
      <c r="H14" s="4">
        <v>0.33</v>
      </c>
      <c r="I14" s="2">
        <v>2</v>
      </c>
      <c r="J14" s="4">
        <v>7.8</v>
      </c>
      <c r="K14" s="4">
        <v>0.18</v>
      </c>
      <c r="L14" s="2">
        <v>2</v>
      </c>
      <c r="M14" s="2" t="s">
        <v>95</v>
      </c>
      <c r="P14" s="2" t="s">
        <v>73</v>
      </c>
      <c r="Q14" s="2" t="s">
        <v>73</v>
      </c>
      <c r="T14" s="2">
        <v>100</v>
      </c>
      <c r="U14" s="2" t="s">
        <v>73</v>
      </c>
      <c r="V14" s="2">
        <v>24</v>
      </c>
      <c r="X14" s="2" t="s">
        <v>89</v>
      </c>
      <c r="Z14" s="2" t="s">
        <v>87</v>
      </c>
      <c r="AA14" s="2" t="s">
        <v>116</v>
      </c>
      <c r="AD14" s="2" t="s">
        <v>94</v>
      </c>
      <c r="AE14" s="2" t="s">
        <v>73</v>
      </c>
      <c r="AF14" s="2" t="s">
        <v>620</v>
      </c>
    </row>
    <row r="15" spans="1:32" x14ac:dyDescent="0.2">
      <c r="A15" s="2">
        <v>14</v>
      </c>
      <c r="B15" s="2" t="s">
        <v>205</v>
      </c>
      <c r="C15" s="2" t="s">
        <v>206</v>
      </c>
      <c r="D15" s="2" t="s">
        <v>92</v>
      </c>
      <c r="E15" s="2" t="s">
        <v>150</v>
      </c>
      <c r="F15" s="2" t="s">
        <v>78</v>
      </c>
      <c r="G15" s="4">
        <v>101</v>
      </c>
      <c r="H15" s="4">
        <v>6</v>
      </c>
      <c r="I15" s="2">
        <v>3</v>
      </c>
      <c r="J15" s="4">
        <v>116</v>
      </c>
      <c r="K15" s="4">
        <v>4</v>
      </c>
      <c r="L15" s="2">
        <v>3</v>
      </c>
      <c r="M15" s="2" t="s">
        <v>75</v>
      </c>
      <c r="N15" s="2" t="s">
        <v>34</v>
      </c>
      <c r="P15" s="2" t="s">
        <v>73</v>
      </c>
      <c r="Q15" s="2" t="s">
        <v>73</v>
      </c>
      <c r="R15" s="2">
        <v>28</v>
      </c>
      <c r="T15" s="2">
        <v>80</v>
      </c>
      <c r="U15" s="2" t="s">
        <v>73</v>
      </c>
      <c r="V15" s="2">
        <v>12</v>
      </c>
      <c r="X15" s="2" t="s">
        <v>98</v>
      </c>
      <c r="AA15" s="2" t="s">
        <v>152</v>
      </c>
      <c r="AB15" s="2">
        <v>190</v>
      </c>
      <c r="AD15" s="2" t="s">
        <v>142</v>
      </c>
      <c r="AE15" s="2" t="s">
        <v>73</v>
      </c>
      <c r="AF15" s="2" t="s">
        <v>207</v>
      </c>
    </row>
    <row r="16" spans="1:32" x14ac:dyDescent="0.2">
      <c r="A16" s="2">
        <v>15</v>
      </c>
      <c r="B16" s="2" t="s">
        <v>205</v>
      </c>
      <c r="C16" s="2" t="s">
        <v>206</v>
      </c>
      <c r="D16" s="2" t="s">
        <v>92</v>
      </c>
      <c r="E16" s="2" t="s">
        <v>150</v>
      </c>
      <c r="F16" s="2" t="s">
        <v>80</v>
      </c>
      <c r="G16" s="4">
        <v>6.4</v>
      </c>
      <c r="H16" s="4">
        <v>0.2</v>
      </c>
      <c r="I16" s="2">
        <v>3</v>
      </c>
      <c r="J16" s="4">
        <v>7.4</v>
      </c>
      <c r="K16" s="4">
        <v>0.2</v>
      </c>
      <c r="L16" s="2">
        <v>3</v>
      </c>
      <c r="M16" s="2" t="s">
        <v>75</v>
      </c>
      <c r="N16" s="2" t="s">
        <v>34</v>
      </c>
      <c r="P16" s="2" t="s">
        <v>73</v>
      </c>
      <c r="Q16" s="2" t="s">
        <v>73</v>
      </c>
      <c r="R16" s="2">
        <v>28</v>
      </c>
      <c r="T16" s="2">
        <v>80</v>
      </c>
      <c r="U16" s="2" t="s">
        <v>73</v>
      </c>
      <c r="V16" s="2">
        <v>12</v>
      </c>
      <c r="X16" s="2" t="s">
        <v>98</v>
      </c>
      <c r="AA16" s="2" t="s">
        <v>152</v>
      </c>
      <c r="AB16" s="2">
        <v>190</v>
      </c>
      <c r="AD16" s="2" t="s">
        <v>142</v>
      </c>
      <c r="AE16" s="2" t="s">
        <v>73</v>
      </c>
      <c r="AF16" s="2" t="s">
        <v>207</v>
      </c>
    </row>
    <row r="17" spans="1:32" x14ac:dyDescent="0.2">
      <c r="A17" s="2">
        <v>16</v>
      </c>
      <c r="B17" s="2" t="s">
        <v>205</v>
      </c>
      <c r="C17" s="2" t="s">
        <v>206</v>
      </c>
      <c r="D17" s="2" t="s">
        <v>92</v>
      </c>
      <c r="E17" s="2" t="s">
        <v>150</v>
      </c>
      <c r="F17" s="2" t="s">
        <v>78</v>
      </c>
      <c r="G17" s="4">
        <v>101</v>
      </c>
      <c r="H17" s="4">
        <v>1</v>
      </c>
      <c r="I17" s="2">
        <v>3</v>
      </c>
      <c r="J17" s="4">
        <v>130</v>
      </c>
      <c r="K17" s="4">
        <v>2</v>
      </c>
      <c r="L17" s="2">
        <v>3</v>
      </c>
      <c r="M17" s="2" t="s">
        <v>75</v>
      </c>
      <c r="N17" s="2" t="s">
        <v>34</v>
      </c>
      <c r="P17" s="2" t="s">
        <v>73</v>
      </c>
      <c r="Q17" s="2" t="s">
        <v>73</v>
      </c>
      <c r="R17" s="2">
        <v>28</v>
      </c>
      <c r="T17" s="2">
        <v>80</v>
      </c>
      <c r="U17" s="2" t="s">
        <v>73</v>
      </c>
      <c r="V17" s="2">
        <v>12</v>
      </c>
      <c r="X17" s="2" t="s">
        <v>98</v>
      </c>
      <c r="AA17" s="2" t="s">
        <v>152</v>
      </c>
      <c r="AB17" s="2">
        <v>390</v>
      </c>
      <c r="AD17" s="2" t="s">
        <v>142</v>
      </c>
      <c r="AE17" s="2" t="s">
        <v>73</v>
      </c>
      <c r="AF17" s="2" t="s">
        <v>208</v>
      </c>
    </row>
    <row r="18" spans="1:32" x14ac:dyDescent="0.2">
      <c r="A18" s="2">
        <v>17</v>
      </c>
      <c r="B18" s="2" t="s">
        <v>205</v>
      </c>
      <c r="C18" s="2" t="s">
        <v>206</v>
      </c>
      <c r="D18" s="2" t="s">
        <v>92</v>
      </c>
      <c r="E18" s="2" t="s">
        <v>150</v>
      </c>
      <c r="F18" s="2" t="s">
        <v>80</v>
      </c>
      <c r="G18" s="4">
        <v>6.3</v>
      </c>
      <c r="H18" s="4">
        <v>0</v>
      </c>
      <c r="I18" s="2">
        <v>3</v>
      </c>
      <c r="J18" s="4">
        <v>6.9</v>
      </c>
      <c r="K18" s="4">
        <v>0.2</v>
      </c>
      <c r="L18" s="2">
        <v>3</v>
      </c>
      <c r="M18" s="2" t="s">
        <v>75</v>
      </c>
      <c r="N18" s="2" t="s">
        <v>34</v>
      </c>
      <c r="P18" s="2" t="s">
        <v>73</v>
      </c>
      <c r="Q18" s="2" t="s">
        <v>73</v>
      </c>
      <c r="R18" s="2">
        <v>28</v>
      </c>
      <c r="T18" s="2">
        <v>80</v>
      </c>
      <c r="U18" s="2" t="s">
        <v>73</v>
      </c>
      <c r="V18" s="2">
        <v>12</v>
      </c>
      <c r="X18" s="2" t="s">
        <v>98</v>
      </c>
      <c r="AA18" s="2" t="s">
        <v>152</v>
      </c>
      <c r="AB18" s="2">
        <v>390</v>
      </c>
      <c r="AD18" s="2" t="s">
        <v>142</v>
      </c>
      <c r="AE18" s="2" t="s">
        <v>73</v>
      </c>
      <c r="AF18" s="2" t="s">
        <v>208</v>
      </c>
    </row>
    <row r="19" spans="1:32" x14ac:dyDescent="0.2">
      <c r="A19" s="2">
        <v>18</v>
      </c>
      <c r="B19" s="2" t="s">
        <v>205</v>
      </c>
      <c r="C19" s="2" t="s">
        <v>206</v>
      </c>
      <c r="D19" s="2" t="s">
        <v>92</v>
      </c>
      <c r="E19" s="2" t="s">
        <v>150</v>
      </c>
      <c r="F19" s="2" t="s">
        <v>78</v>
      </c>
      <c r="G19" s="4">
        <v>104</v>
      </c>
      <c r="H19" s="4">
        <v>6</v>
      </c>
      <c r="I19" s="2">
        <v>3</v>
      </c>
      <c r="J19" s="4">
        <v>140</v>
      </c>
      <c r="K19" s="4">
        <v>5</v>
      </c>
      <c r="L19" s="2">
        <v>3</v>
      </c>
      <c r="M19" s="2" t="s">
        <v>75</v>
      </c>
      <c r="N19" s="2" t="s">
        <v>34</v>
      </c>
      <c r="P19" s="2" t="s">
        <v>73</v>
      </c>
      <c r="Q19" s="2" t="s">
        <v>73</v>
      </c>
      <c r="R19" s="2">
        <v>28</v>
      </c>
      <c r="T19" s="2">
        <v>80</v>
      </c>
      <c r="U19" s="2" t="s">
        <v>73</v>
      </c>
      <c r="V19" s="2">
        <v>12</v>
      </c>
      <c r="X19" s="2" t="s">
        <v>98</v>
      </c>
      <c r="AA19" s="2" t="s">
        <v>152</v>
      </c>
      <c r="AB19" s="2">
        <v>760</v>
      </c>
      <c r="AD19" s="2" t="s">
        <v>142</v>
      </c>
      <c r="AE19" s="2" t="s">
        <v>73</v>
      </c>
      <c r="AF19" s="2" t="s">
        <v>209</v>
      </c>
    </row>
    <row r="20" spans="1:32" x14ac:dyDescent="0.2">
      <c r="A20" s="2">
        <v>19</v>
      </c>
      <c r="B20" s="2" t="s">
        <v>205</v>
      </c>
      <c r="C20" s="2" t="s">
        <v>206</v>
      </c>
      <c r="D20" s="2" t="s">
        <v>92</v>
      </c>
      <c r="E20" s="2" t="s">
        <v>150</v>
      </c>
      <c r="F20" s="2" t="s">
        <v>80</v>
      </c>
      <c r="G20" s="4">
        <v>6.5</v>
      </c>
      <c r="H20" s="4">
        <v>0.1</v>
      </c>
      <c r="I20" s="2">
        <v>3</v>
      </c>
      <c r="J20" s="4">
        <v>7.3</v>
      </c>
      <c r="K20" s="4">
        <v>0.2</v>
      </c>
      <c r="L20" s="2">
        <v>3</v>
      </c>
      <c r="M20" s="2" t="s">
        <v>75</v>
      </c>
      <c r="N20" s="2" t="s">
        <v>34</v>
      </c>
      <c r="P20" s="2" t="s">
        <v>73</v>
      </c>
      <c r="Q20" s="2" t="s">
        <v>73</v>
      </c>
      <c r="R20" s="2">
        <v>28</v>
      </c>
      <c r="T20" s="2">
        <v>80</v>
      </c>
      <c r="U20" s="2" t="s">
        <v>73</v>
      </c>
      <c r="V20" s="2">
        <v>12</v>
      </c>
      <c r="X20" s="2" t="s">
        <v>98</v>
      </c>
      <c r="AA20" s="2" t="s">
        <v>152</v>
      </c>
      <c r="AB20" s="2">
        <v>760</v>
      </c>
      <c r="AD20" s="2" t="s">
        <v>142</v>
      </c>
      <c r="AE20" s="2" t="s">
        <v>73</v>
      </c>
      <c r="AF20" s="2" t="s">
        <v>209</v>
      </c>
    </row>
    <row r="21" spans="1:32" x14ac:dyDescent="0.2">
      <c r="A21" s="2">
        <v>20</v>
      </c>
      <c r="B21" s="2" t="s">
        <v>621</v>
      </c>
      <c r="C21" s="2" t="s">
        <v>622</v>
      </c>
      <c r="D21" s="2" t="s">
        <v>84</v>
      </c>
      <c r="E21" s="2" t="s">
        <v>85</v>
      </c>
      <c r="F21" s="2" t="s">
        <v>80</v>
      </c>
      <c r="G21" s="4">
        <v>6.4722222222222232</v>
      </c>
      <c r="H21" s="4">
        <v>0.8438745335623431</v>
      </c>
      <c r="I21" s="2">
        <v>3</v>
      </c>
      <c r="J21" s="4">
        <v>6.1</v>
      </c>
      <c r="K21" s="4">
        <v>0.82067106687149638</v>
      </c>
      <c r="L21" s="2">
        <v>3</v>
      </c>
      <c r="M21" s="2" t="s">
        <v>95</v>
      </c>
      <c r="N21" s="2" t="s">
        <v>616</v>
      </c>
      <c r="P21" s="2" t="s">
        <v>73</v>
      </c>
      <c r="Q21" s="2" t="s">
        <v>73</v>
      </c>
      <c r="R21" s="2">
        <v>18</v>
      </c>
      <c r="T21" s="2">
        <v>250</v>
      </c>
      <c r="U21" s="2" t="s">
        <v>73</v>
      </c>
      <c r="V21" s="2">
        <v>24</v>
      </c>
      <c r="X21" s="2" t="s">
        <v>89</v>
      </c>
      <c r="AA21" s="2" t="s">
        <v>116</v>
      </c>
      <c r="AD21" s="2" t="s">
        <v>94</v>
      </c>
      <c r="AE21" s="2" t="s">
        <v>73</v>
      </c>
      <c r="AF21" s="2" t="s">
        <v>623</v>
      </c>
    </row>
    <row r="22" spans="1:32" x14ac:dyDescent="0.2">
      <c r="A22" s="2">
        <v>21</v>
      </c>
      <c r="B22" s="2" t="s">
        <v>621</v>
      </c>
      <c r="C22" s="2" t="s">
        <v>622</v>
      </c>
      <c r="D22" s="2" t="s">
        <v>84</v>
      </c>
      <c r="E22" s="2" t="s">
        <v>85</v>
      </c>
      <c r="F22" s="2" t="s">
        <v>78</v>
      </c>
      <c r="G22" s="4">
        <v>98.997071961591232</v>
      </c>
      <c r="H22" s="4">
        <v>12.907638992800507</v>
      </c>
      <c r="I22" s="2">
        <v>3</v>
      </c>
      <c r="J22" s="4">
        <v>105.30092654458599</v>
      </c>
      <c r="K22" s="4">
        <v>14.166790775393846</v>
      </c>
      <c r="L22" s="2">
        <v>3</v>
      </c>
      <c r="M22" s="2" t="s">
        <v>95</v>
      </c>
      <c r="N22" s="2" t="s">
        <v>616</v>
      </c>
      <c r="P22" s="2" t="s">
        <v>73</v>
      </c>
      <c r="Q22" s="2" t="s">
        <v>73</v>
      </c>
      <c r="R22" s="2">
        <v>18</v>
      </c>
      <c r="T22" s="2">
        <v>250</v>
      </c>
      <c r="U22" s="2" t="s">
        <v>73</v>
      </c>
      <c r="V22" s="2">
        <v>24</v>
      </c>
      <c r="X22" s="2" t="s">
        <v>89</v>
      </c>
      <c r="AA22" s="2" t="s">
        <v>116</v>
      </c>
      <c r="AD22" s="2" t="s">
        <v>94</v>
      </c>
      <c r="AE22" s="2" t="s">
        <v>73</v>
      </c>
      <c r="AF22" s="2" t="s">
        <v>623</v>
      </c>
    </row>
    <row r="23" spans="1:32" x14ac:dyDescent="0.2">
      <c r="A23" s="2">
        <v>22</v>
      </c>
      <c r="B23" s="2" t="s">
        <v>231</v>
      </c>
      <c r="C23" s="2" t="s">
        <v>233</v>
      </c>
      <c r="D23" s="2" t="s">
        <v>84</v>
      </c>
      <c r="E23" s="2" t="s">
        <v>85</v>
      </c>
      <c r="F23" s="2" t="s">
        <v>78</v>
      </c>
      <c r="G23" s="4">
        <v>21.5</v>
      </c>
      <c r="H23" s="4">
        <v>3.0594372440041977</v>
      </c>
      <c r="I23" s="2">
        <v>3</v>
      </c>
      <c r="J23" s="4">
        <v>19.3</v>
      </c>
      <c r="K23" s="4">
        <v>9.2559743208479013</v>
      </c>
      <c r="L23" s="2">
        <v>3</v>
      </c>
      <c r="M23" s="2" t="s">
        <v>95</v>
      </c>
      <c r="P23" s="2" t="s">
        <v>73</v>
      </c>
      <c r="Q23" s="2" t="s">
        <v>73</v>
      </c>
      <c r="R23" s="2">
        <v>3</v>
      </c>
      <c r="T23" s="2">
        <v>30</v>
      </c>
      <c r="U23" s="2" t="s">
        <v>73</v>
      </c>
      <c r="V23" s="2">
        <v>16</v>
      </c>
      <c r="X23" s="2" t="s">
        <v>98</v>
      </c>
      <c r="AA23" s="2" t="s">
        <v>116</v>
      </c>
      <c r="AD23" s="2" t="s">
        <v>104</v>
      </c>
      <c r="AE23" s="2" t="s">
        <v>73</v>
      </c>
      <c r="AF23" s="2" t="s">
        <v>232</v>
      </c>
    </row>
    <row r="24" spans="1:32" x14ac:dyDescent="0.2">
      <c r="A24" s="2">
        <v>23</v>
      </c>
      <c r="B24" s="2" t="s">
        <v>231</v>
      </c>
      <c r="C24" s="2" t="s">
        <v>233</v>
      </c>
      <c r="D24" s="2" t="s">
        <v>84</v>
      </c>
      <c r="E24" s="2" t="s">
        <v>85</v>
      </c>
      <c r="F24" s="2" t="s">
        <v>80</v>
      </c>
      <c r="G24" s="4">
        <v>5.375</v>
      </c>
      <c r="H24" s="4">
        <v>0.76485931100104942</v>
      </c>
      <c r="I24" s="2">
        <v>3</v>
      </c>
      <c r="J24" s="4">
        <v>5.2162162162162158</v>
      </c>
      <c r="K24" s="4">
        <v>2.5016146813102433</v>
      </c>
      <c r="L24" s="2">
        <v>3</v>
      </c>
      <c r="M24" s="2" t="s">
        <v>95</v>
      </c>
      <c r="P24" s="2" t="s">
        <v>73</v>
      </c>
      <c r="Q24" s="2" t="s">
        <v>73</v>
      </c>
      <c r="R24" s="2">
        <v>3</v>
      </c>
      <c r="T24" s="2">
        <v>30</v>
      </c>
      <c r="U24" s="2" t="s">
        <v>73</v>
      </c>
      <c r="V24" s="2">
        <v>16</v>
      </c>
      <c r="X24" s="2" t="s">
        <v>98</v>
      </c>
      <c r="AA24" s="2" t="s">
        <v>116</v>
      </c>
      <c r="AD24" s="2" t="s">
        <v>104</v>
      </c>
      <c r="AE24" s="2" t="s">
        <v>73</v>
      </c>
      <c r="AF24" s="2" t="s">
        <v>232</v>
      </c>
    </row>
    <row r="25" spans="1:32" x14ac:dyDescent="0.2">
      <c r="A25" s="2">
        <v>24</v>
      </c>
      <c r="B25" s="2" t="s">
        <v>259</v>
      </c>
      <c r="C25" s="2" t="s">
        <v>206</v>
      </c>
      <c r="D25" s="2" t="s">
        <v>92</v>
      </c>
      <c r="E25" s="2" t="s">
        <v>150</v>
      </c>
      <c r="F25" s="2" t="s">
        <v>80</v>
      </c>
      <c r="G25" s="4">
        <v>8.3000000000000007</v>
      </c>
      <c r="H25" s="4">
        <v>0.5</v>
      </c>
      <c r="I25" s="2">
        <v>3</v>
      </c>
      <c r="J25" s="4">
        <v>9.6</v>
      </c>
      <c r="K25" s="4">
        <v>0.5</v>
      </c>
      <c r="L25" s="2">
        <v>3</v>
      </c>
      <c r="M25" s="2" t="s">
        <v>95</v>
      </c>
      <c r="N25" s="2" t="s">
        <v>616</v>
      </c>
      <c r="P25" s="2" t="s">
        <v>73</v>
      </c>
      <c r="Q25" s="2" t="s">
        <v>73</v>
      </c>
      <c r="R25" s="2">
        <v>27.5</v>
      </c>
      <c r="T25" s="2">
        <v>150</v>
      </c>
      <c r="U25" s="2" t="s">
        <v>73</v>
      </c>
      <c r="V25" s="2">
        <v>12</v>
      </c>
      <c r="X25" s="2" t="s">
        <v>89</v>
      </c>
      <c r="AA25" s="2" t="s">
        <v>152</v>
      </c>
      <c r="AD25" s="2" t="s">
        <v>142</v>
      </c>
      <c r="AE25" s="2" t="s">
        <v>73</v>
      </c>
      <c r="AF25" s="2" t="s">
        <v>260</v>
      </c>
    </row>
    <row r="26" spans="1:32" x14ac:dyDescent="0.2">
      <c r="A26" s="2">
        <v>25</v>
      </c>
      <c r="B26" s="2" t="s">
        <v>265</v>
      </c>
      <c r="C26" s="2" t="s">
        <v>185</v>
      </c>
      <c r="D26" s="2" t="s">
        <v>92</v>
      </c>
      <c r="E26" s="2" t="s">
        <v>150</v>
      </c>
      <c r="F26" s="2" t="s">
        <v>78</v>
      </c>
      <c r="G26" s="4">
        <v>230.7</v>
      </c>
      <c r="H26" s="4">
        <v>26.7</v>
      </c>
      <c r="I26" s="2">
        <v>3</v>
      </c>
      <c r="J26" s="4">
        <v>60.8</v>
      </c>
      <c r="K26" s="4">
        <v>4.5</v>
      </c>
      <c r="L26" s="2">
        <v>3</v>
      </c>
      <c r="M26" s="2" t="s">
        <v>75</v>
      </c>
      <c r="P26" s="2" t="s">
        <v>73</v>
      </c>
      <c r="Q26" s="2" t="s">
        <v>73</v>
      </c>
      <c r="R26" s="2">
        <v>22</v>
      </c>
      <c r="S26" s="2" t="s">
        <v>73</v>
      </c>
      <c r="T26" s="2">
        <v>150</v>
      </c>
      <c r="U26" s="2" t="s">
        <v>73</v>
      </c>
      <c r="V26" s="2">
        <v>12</v>
      </c>
      <c r="X26" s="2" t="s">
        <v>89</v>
      </c>
      <c r="AA26" s="2" t="s">
        <v>152</v>
      </c>
      <c r="AD26" s="2" t="s">
        <v>264</v>
      </c>
      <c r="AE26" s="2" t="s">
        <v>73</v>
      </c>
      <c r="AF26" s="2" t="s">
        <v>292</v>
      </c>
    </row>
    <row r="27" spans="1:32" x14ac:dyDescent="0.2">
      <c r="A27" s="2">
        <v>26</v>
      </c>
      <c r="B27" s="2" t="s">
        <v>265</v>
      </c>
      <c r="C27" s="2" t="s">
        <v>185</v>
      </c>
      <c r="D27" s="2" t="s">
        <v>92</v>
      </c>
      <c r="E27" s="2" t="s">
        <v>150</v>
      </c>
      <c r="F27" s="2" t="s">
        <v>80</v>
      </c>
      <c r="G27" s="4">
        <v>6.3</v>
      </c>
      <c r="H27" s="4">
        <v>0.3</v>
      </c>
      <c r="I27" s="2">
        <v>3</v>
      </c>
      <c r="J27" s="4">
        <v>5.9</v>
      </c>
      <c r="K27" s="4">
        <v>0.1</v>
      </c>
      <c r="L27" s="2">
        <v>3</v>
      </c>
      <c r="M27" s="2" t="s">
        <v>75</v>
      </c>
      <c r="P27" s="2" t="s">
        <v>73</v>
      </c>
      <c r="Q27" s="2" t="s">
        <v>73</v>
      </c>
      <c r="R27" s="2">
        <v>22</v>
      </c>
      <c r="S27" s="2" t="s">
        <v>73</v>
      </c>
      <c r="T27" s="2">
        <v>150</v>
      </c>
      <c r="U27" s="2" t="s">
        <v>73</v>
      </c>
      <c r="V27" s="2">
        <v>12</v>
      </c>
      <c r="X27" s="2" t="s">
        <v>89</v>
      </c>
      <c r="AA27" s="2" t="s">
        <v>152</v>
      </c>
      <c r="AD27" s="2" t="s">
        <v>264</v>
      </c>
      <c r="AE27" s="2" t="s">
        <v>73</v>
      </c>
      <c r="AF27" s="2" t="s">
        <v>292</v>
      </c>
    </row>
    <row r="28" spans="1:32" x14ac:dyDescent="0.2">
      <c r="A28" s="2">
        <v>27</v>
      </c>
      <c r="B28" s="2" t="s">
        <v>265</v>
      </c>
      <c r="C28" s="2" t="s">
        <v>185</v>
      </c>
      <c r="D28" s="2" t="s">
        <v>92</v>
      </c>
      <c r="E28" s="2" t="s">
        <v>150</v>
      </c>
      <c r="F28" s="2" t="s">
        <v>78</v>
      </c>
      <c r="G28" s="4">
        <v>305.7</v>
      </c>
      <c r="H28" s="4">
        <v>13.3</v>
      </c>
      <c r="I28" s="2">
        <v>3</v>
      </c>
      <c r="J28" s="4">
        <v>98.9</v>
      </c>
      <c r="K28" s="4">
        <v>4.5999999999999996</v>
      </c>
      <c r="L28" s="2">
        <v>3</v>
      </c>
      <c r="M28" s="2" t="s">
        <v>75</v>
      </c>
      <c r="P28" s="2" t="s">
        <v>73</v>
      </c>
      <c r="Q28" s="2" t="s">
        <v>73</v>
      </c>
      <c r="R28" s="2">
        <v>27</v>
      </c>
      <c r="T28" s="2">
        <v>150</v>
      </c>
      <c r="U28" s="2" t="s">
        <v>73</v>
      </c>
      <c r="V28" s="2">
        <v>12</v>
      </c>
      <c r="X28" s="2" t="s">
        <v>89</v>
      </c>
      <c r="AA28" s="2" t="s">
        <v>152</v>
      </c>
      <c r="AD28" s="2" t="s">
        <v>264</v>
      </c>
      <c r="AE28" s="2" t="s">
        <v>73</v>
      </c>
      <c r="AF28" s="2" t="s">
        <v>293</v>
      </c>
    </row>
    <row r="29" spans="1:32" x14ac:dyDescent="0.2">
      <c r="A29" s="2">
        <v>28</v>
      </c>
      <c r="B29" s="2" t="s">
        <v>265</v>
      </c>
      <c r="C29" s="2" t="s">
        <v>185</v>
      </c>
      <c r="D29" s="2" t="s">
        <v>92</v>
      </c>
      <c r="E29" s="2" t="s">
        <v>150</v>
      </c>
      <c r="F29" s="2" t="s">
        <v>80</v>
      </c>
      <c r="G29" s="4">
        <v>7.5</v>
      </c>
      <c r="H29" s="4">
        <v>0.4</v>
      </c>
      <c r="I29" s="2">
        <v>3</v>
      </c>
      <c r="J29" s="4">
        <v>5.0999999999999996</v>
      </c>
      <c r="K29" s="4">
        <v>0.5</v>
      </c>
      <c r="L29" s="2">
        <v>3</v>
      </c>
      <c r="M29" s="2" t="s">
        <v>75</v>
      </c>
      <c r="P29" s="2" t="s">
        <v>73</v>
      </c>
      <c r="Q29" s="2" t="s">
        <v>73</v>
      </c>
      <c r="R29" s="2">
        <v>27</v>
      </c>
      <c r="T29" s="2">
        <v>150</v>
      </c>
      <c r="U29" s="2" t="s">
        <v>73</v>
      </c>
      <c r="V29" s="2">
        <v>12</v>
      </c>
      <c r="X29" s="2" t="s">
        <v>89</v>
      </c>
      <c r="AA29" s="2" t="s">
        <v>152</v>
      </c>
      <c r="AD29" s="2" t="s">
        <v>264</v>
      </c>
      <c r="AE29" s="2" t="s">
        <v>73</v>
      </c>
      <c r="AF29" s="2" t="s">
        <v>293</v>
      </c>
    </row>
    <row r="30" spans="1:32" x14ac:dyDescent="0.2">
      <c r="A30" s="2">
        <v>29</v>
      </c>
      <c r="B30" s="2" t="s">
        <v>265</v>
      </c>
      <c r="C30" s="2" t="s">
        <v>185</v>
      </c>
      <c r="D30" s="2" t="s">
        <v>92</v>
      </c>
      <c r="E30" s="2" t="s">
        <v>150</v>
      </c>
      <c r="F30" s="2" t="s">
        <v>78</v>
      </c>
      <c r="G30" s="4">
        <v>240.8</v>
      </c>
      <c r="H30" s="4">
        <v>13.7</v>
      </c>
      <c r="I30" s="2">
        <v>3</v>
      </c>
      <c r="J30" s="4">
        <v>136.5</v>
      </c>
      <c r="K30" s="4">
        <v>23.2</v>
      </c>
      <c r="L30" s="2">
        <v>3</v>
      </c>
      <c r="M30" s="2" t="s">
        <v>75</v>
      </c>
      <c r="P30" s="2" t="s">
        <v>73</v>
      </c>
      <c r="Q30" s="2" t="s">
        <v>73</v>
      </c>
      <c r="R30" s="2">
        <v>32</v>
      </c>
      <c r="T30" s="2">
        <v>150</v>
      </c>
      <c r="U30" s="2" t="s">
        <v>73</v>
      </c>
      <c r="V30" s="2">
        <v>12</v>
      </c>
      <c r="X30" s="2" t="s">
        <v>89</v>
      </c>
      <c r="AA30" s="2" t="s">
        <v>152</v>
      </c>
      <c r="AD30" s="2" t="s">
        <v>264</v>
      </c>
      <c r="AE30" s="2" t="s">
        <v>73</v>
      </c>
      <c r="AF30" s="2" t="s">
        <v>294</v>
      </c>
    </row>
    <row r="31" spans="1:32" x14ac:dyDescent="0.2">
      <c r="A31" s="2">
        <v>30</v>
      </c>
      <c r="B31" s="2" t="s">
        <v>265</v>
      </c>
      <c r="C31" s="2" t="s">
        <v>185</v>
      </c>
      <c r="D31" s="2" t="s">
        <v>92</v>
      </c>
      <c r="E31" s="2" t="s">
        <v>150</v>
      </c>
      <c r="F31" s="2" t="s">
        <v>80</v>
      </c>
      <c r="G31" s="4">
        <v>6.7</v>
      </c>
      <c r="H31" s="4">
        <v>0.1</v>
      </c>
      <c r="I31" s="2">
        <v>3</v>
      </c>
      <c r="J31" s="4">
        <v>4.9000000000000004</v>
      </c>
      <c r="K31" s="4">
        <v>0.4</v>
      </c>
      <c r="L31" s="2">
        <v>3</v>
      </c>
      <c r="M31" s="2" t="s">
        <v>75</v>
      </c>
      <c r="P31" s="2" t="s">
        <v>73</v>
      </c>
      <c r="Q31" s="2" t="s">
        <v>73</v>
      </c>
      <c r="R31" s="2">
        <v>32</v>
      </c>
      <c r="T31" s="2">
        <v>150</v>
      </c>
      <c r="U31" s="2" t="s">
        <v>73</v>
      </c>
      <c r="V31" s="2">
        <v>12</v>
      </c>
      <c r="X31" s="2" t="s">
        <v>89</v>
      </c>
      <c r="AA31" s="2" t="s">
        <v>152</v>
      </c>
      <c r="AD31" s="2" t="s">
        <v>264</v>
      </c>
      <c r="AE31" s="2" t="s">
        <v>73</v>
      </c>
      <c r="AF31" s="2" t="s">
        <v>294</v>
      </c>
    </row>
    <row r="32" spans="1:32" x14ac:dyDescent="0.2">
      <c r="A32" s="2">
        <v>31</v>
      </c>
      <c r="B32" s="2" t="s">
        <v>277</v>
      </c>
      <c r="C32" s="2" t="s">
        <v>278</v>
      </c>
      <c r="D32" s="2" t="s">
        <v>121</v>
      </c>
      <c r="E32" s="2" t="s">
        <v>106</v>
      </c>
      <c r="F32" s="2" t="s">
        <v>80</v>
      </c>
      <c r="G32" s="4">
        <v>7.9333333333333336</v>
      </c>
      <c r="H32" s="4">
        <v>1.921425975097083</v>
      </c>
      <c r="I32" s="2">
        <v>3</v>
      </c>
      <c r="J32" s="4">
        <v>7.2333333333333325</v>
      </c>
      <c r="K32" s="4">
        <v>0.86080711479917993</v>
      </c>
      <c r="L32" s="2">
        <v>3</v>
      </c>
      <c r="M32" s="2" t="s">
        <v>95</v>
      </c>
      <c r="N32" s="2" t="s">
        <v>616</v>
      </c>
      <c r="P32" s="2" t="s">
        <v>73</v>
      </c>
      <c r="Q32" s="2" t="s">
        <v>73</v>
      </c>
      <c r="R32" s="2">
        <v>2</v>
      </c>
      <c r="T32" s="2">
        <v>100</v>
      </c>
      <c r="U32" s="2" t="s">
        <v>73</v>
      </c>
      <c r="V32" s="2">
        <v>16</v>
      </c>
      <c r="X32" s="2" t="s">
        <v>98</v>
      </c>
      <c r="AA32" s="2" t="s">
        <v>116</v>
      </c>
      <c r="AB32" s="2">
        <v>350</v>
      </c>
      <c r="AD32" s="2" t="s">
        <v>279</v>
      </c>
      <c r="AE32" s="2" t="s">
        <v>73</v>
      </c>
      <c r="AF32" s="2" t="s">
        <v>280</v>
      </c>
    </row>
    <row r="33" spans="1:32" x14ac:dyDescent="0.2">
      <c r="A33" s="2">
        <v>32</v>
      </c>
      <c r="B33" s="2" t="s">
        <v>277</v>
      </c>
      <c r="C33" s="2" t="s">
        <v>278</v>
      </c>
      <c r="D33" s="2" t="s">
        <v>121</v>
      </c>
      <c r="E33" s="2" t="s">
        <v>106</v>
      </c>
      <c r="F33" s="2" t="s">
        <v>80</v>
      </c>
      <c r="G33" s="4">
        <v>6.7407407407407414</v>
      </c>
      <c r="H33" s="4">
        <v>0.12962962962962965</v>
      </c>
      <c r="I33" s="2">
        <v>3</v>
      </c>
      <c r="J33" s="4">
        <v>6.3</v>
      </c>
      <c r="K33" s="4">
        <v>0.78401388876586731</v>
      </c>
      <c r="L33" s="2">
        <v>3</v>
      </c>
      <c r="M33" s="2" t="s">
        <v>95</v>
      </c>
      <c r="N33" s="2" t="s">
        <v>616</v>
      </c>
      <c r="P33" s="2" t="s">
        <v>73</v>
      </c>
      <c r="Q33" s="2" t="s">
        <v>73</v>
      </c>
      <c r="R33" s="2">
        <v>2</v>
      </c>
      <c r="T33" s="2">
        <v>100</v>
      </c>
      <c r="U33" s="2" t="s">
        <v>73</v>
      </c>
      <c r="V33" s="2">
        <v>16</v>
      </c>
      <c r="X33" s="2" t="s">
        <v>98</v>
      </c>
      <c r="AA33" s="2" t="s">
        <v>116</v>
      </c>
      <c r="AB33" s="2">
        <v>900</v>
      </c>
      <c r="AD33" s="2" t="s">
        <v>279</v>
      </c>
      <c r="AE33" s="2" t="s">
        <v>73</v>
      </c>
      <c r="AF33" s="2" t="s">
        <v>281</v>
      </c>
    </row>
    <row r="34" spans="1:32" x14ac:dyDescent="0.2">
      <c r="A34" s="2">
        <v>33</v>
      </c>
      <c r="B34" s="2" t="s">
        <v>290</v>
      </c>
      <c r="C34" s="2" t="s">
        <v>291</v>
      </c>
      <c r="D34" s="2" t="s">
        <v>92</v>
      </c>
      <c r="E34" s="2" t="s">
        <v>93</v>
      </c>
      <c r="F34" s="2" t="s">
        <v>80</v>
      </c>
      <c r="G34" s="4">
        <v>10.706</v>
      </c>
      <c r="H34" s="4">
        <v>0.64100000000000001</v>
      </c>
      <c r="I34" s="2">
        <v>3</v>
      </c>
      <c r="J34" s="4">
        <v>10.532</v>
      </c>
      <c r="K34" s="4">
        <v>0.20700000000000074</v>
      </c>
      <c r="L34" s="2">
        <v>3</v>
      </c>
      <c r="M34" s="2" t="s">
        <v>95</v>
      </c>
      <c r="N34" s="2" t="s">
        <v>616</v>
      </c>
      <c r="P34" s="2" t="s">
        <v>73</v>
      </c>
      <c r="Q34" s="2" t="s">
        <v>73</v>
      </c>
      <c r="R34" s="2">
        <v>23</v>
      </c>
      <c r="T34" s="2">
        <v>110</v>
      </c>
      <c r="U34" s="2" t="s">
        <v>73</v>
      </c>
      <c r="V34" s="2">
        <v>24</v>
      </c>
      <c r="X34" s="2" t="s">
        <v>89</v>
      </c>
      <c r="AA34" s="2" t="s">
        <v>116</v>
      </c>
      <c r="AD34" s="2" t="s">
        <v>123</v>
      </c>
      <c r="AE34" s="2" t="s">
        <v>87</v>
      </c>
      <c r="AF34" s="2" t="s">
        <v>295</v>
      </c>
    </row>
    <row r="35" spans="1:32" x14ac:dyDescent="0.2">
      <c r="A35" s="2">
        <v>34</v>
      </c>
      <c r="B35" s="2" t="s">
        <v>290</v>
      </c>
      <c r="C35" s="2" t="s">
        <v>291</v>
      </c>
      <c r="D35" s="2" t="s">
        <v>92</v>
      </c>
      <c r="E35" s="2" t="s">
        <v>93</v>
      </c>
      <c r="F35" s="2" t="s">
        <v>80</v>
      </c>
      <c r="G35" s="4">
        <v>11.878</v>
      </c>
      <c r="H35" s="4">
        <v>1.0670000000000002</v>
      </c>
      <c r="I35" s="2">
        <v>3</v>
      </c>
      <c r="J35" s="4">
        <v>8.7490000000000006</v>
      </c>
      <c r="K35" s="4">
        <v>1.9379999999999988</v>
      </c>
      <c r="L35" s="2">
        <v>3</v>
      </c>
      <c r="M35" s="2" t="s">
        <v>95</v>
      </c>
      <c r="N35" s="2" t="s">
        <v>616</v>
      </c>
      <c r="P35" s="2" t="s">
        <v>73</v>
      </c>
      <c r="Q35" s="2" t="s">
        <v>73</v>
      </c>
      <c r="R35" s="2">
        <v>23</v>
      </c>
      <c r="T35" s="2">
        <v>26</v>
      </c>
      <c r="U35" s="2" t="s">
        <v>87</v>
      </c>
      <c r="V35" s="2">
        <v>24</v>
      </c>
      <c r="X35" s="2" t="s">
        <v>89</v>
      </c>
      <c r="AA35" s="2" t="s">
        <v>116</v>
      </c>
      <c r="AD35" s="2" t="s">
        <v>123</v>
      </c>
      <c r="AE35" s="2" t="s">
        <v>87</v>
      </c>
      <c r="AF35" s="2" t="s">
        <v>296</v>
      </c>
    </row>
    <row r="36" spans="1:32" x14ac:dyDescent="0.2">
      <c r="A36" s="2">
        <v>35</v>
      </c>
      <c r="B36" s="2" t="s">
        <v>290</v>
      </c>
      <c r="C36" s="2" t="s">
        <v>291</v>
      </c>
      <c r="D36" s="2" t="s">
        <v>92</v>
      </c>
      <c r="E36" s="2" t="s">
        <v>93</v>
      </c>
      <c r="F36" s="2" t="s">
        <v>80</v>
      </c>
      <c r="G36" s="4">
        <v>6.7850000000000001</v>
      </c>
      <c r="H36" s="4">
        <v>1.1029999999999998</v>
      </c>
      <c r="I36" s="2">
        <v>3</v>
      </c>
      <c r="J36" s="4">
        <v>9.3940000000000001</v>
      </c>
      <c r="K36" s="4">
        <v>1.6530000000000005</v>
      </c>
      <c r="L36" s="2">
        <v>3</v>
      </c>
      <c r="M36" s="2" t="s">
        <v>95</v>
      </c>
      <c r="N36" s="2" t="s">
        <v>616</v>
      </c>
      <c r="P36" s="2" t="s">
        <v>73</v>
      </c>
      <c r="Q36" s="2" t="s">
        <v>73</v>
      </c>
      <c r="R36" s="2">
        <v>23</v>
      </c>
      <c r="T36" s="2">
        <v>26</v>
      </c>
      <c r="U36" s="2" t="s">
        <v>87</v>
      </c>
      <c r="V36" s="2">
        <v>24</v>
      </c>
      <c r="X36" s="2" t="s">
        <v>89</v>
      </c>
      <c r="AA36" s="2" t="s">
        <v>117</v>
      </c>
      <c r="AD36" s="2" t="s">
        <v>123</v>
      </c>
      <c r="AE36" s="2" t="s">
        <v>87</v>
      </c>
      <c r="AF36" s="2" t="s">
        <v>297</v>
      </c>
    </row>
    <row r="37" spans="1:32" x14ac:dyDescent="0.2">
      <c r="A37" s="2">
        <v>36</v>
      </c>
      <c r="B37" s="2" t="s">
        <v>300</v>
      </c>
      <c r="C37" s="2" t="s">
        <v>197</v>
      </c>
      <c r="D37" s="2" t="s">
        <v>84</v>
      </c>
      <c r="E37" s="2" t="s">
        <v>85</v>
      </c>
      <c r="F37" s="2" t="s">
        <v>80</v>
      </c>
      <c r="G37" s="4">
        <v>7.12</v>
      </c>
      <c r="H37" s="4">
        <f>2.25*SQRT(3)</f>
        <v>3.8971143170299736</v>
      </c>
      <c r="I37" s="2">
        <v>3</v>
      </c>
      <c r="J37" s="4">
        <v>6.86</v>
      </c>
      <c r="K37" s="4">
        <f>0.56*SQRT(3)</f>
        <v>0.96994845223857129</v>
      </c>
      <c r="L37" s="2">
        <v>3</v>
      </c>
      <c r="M37" s="2" t="s">
        <v>75</v>
      </c>
      <c r="N37" s="2" t="s">
        <v>616</v>
      </c>
      <c r="P37" s="2" t="s">
        <v>73</v>
      </c>
      <c r="Q37" s="2" t="s">
        <v>73</v>
      </c>
      <c r="R37" s="2">
        <v>10</v>
      </c>
      <c r="S37" s="2" t="s">
        <v>73</v>
      </c>
      <c r="T37" s="2">
        <v>80</v>
      </c>
      <c r="U37" s="2" t="s">
        <v>73</v>
      </c>
      <c r="V37" s="2">
        <v>24</v>
      </c>
      <c r="X37" s="2" t="s">
        <v>98</v>
      </c>
      <c r="Y37" s="2">
        <v>10</v>
      </c>
      <c r="AA37" s="2" t="s">
        <v>116</v>
      </c>
      <c r="AD37" s="2" t="s">
        <v>142</v>
      </c>
      <c r="AE37" s="2" t="s">
        <v>73</v>
      </c>
      <c r="AF37" s="2" t="s">
        <v>301</v>
      </c>
    </row>
    <row r="38" spans="1:32" x14ac:dyDescent="0.2">
      <c r="A38" s="2">
        <v>37</v>
      </c>
      <c r="B38" s="2" t="s">
        <v>300</v>
      </c>
      <c r="C38" s="2" t="s">
        <v>197</v>
      </c>
      <c r="D38" s="2" t="s">
        <v>84</v>
      </c>
      <c r="E38" s="2" t="s">
        <v>85</v>
      </c>
      <c r="F38" s="2" t="s">
        <v>80</v>
      </c>
      <c r="G38" s="4">
        <v>7.75</v>
      </c>
      <c r="H38" s="4">
        <f>2.37*SQRT(3)</f>
        <v>4.1049604139382394</v>
      </c>
      <c r="I38" s="2">
        <v>3</v>
      </c>
      <c r="J38" s="4">
        <v>8.15</v>
      </c>
      <c r="K38" s="4">
        <f>0.15*SQRT(3)</f>
        <v>0.25980762113533157</v>
      </c>
      <c r="L38" s="2">
        <v>3</v>
      </c>
      <c r="M38" s="2" t="s">
        <v>75</v>
      </c>
      <c r="N38" s="2" t="s">
        <v>616</v>
      </c>
      <c r="P38" s="2" t="s">
        <v>73</v>
      </c>
      <c r="Q38" s="2" t="s">
        <v>73</v>
      </c>
      <c r="R38" s="2">
        <v>20</v>
      </c>
      <c r="S38" s="2" t="s">
        <v>87</v>
      </c>
      <c r="T38" s="2">
        <v>80</v>
      </c>
      <c r="U38" s="2" t="s">
        <v>73</v>
      </c>
      <c r="V38" s="2">
        <v>24</v>
      </c>
      <c r="X38" s="2" t="s">
        <v>98</v>
      </c>
      <c r="Y38" s="2">
        <v>10</v>
      </c>
      <c r="AA38" s="2" t="s">
        <v>116</v>
      </c>
      <c r="AD38" s="2" t="s">
        <v>142</v>
      </c>
      <c r="AE38" s="2" t="s">
        <v>73</v>
      </c>
      <c r="AF38" s="2" t="s">
        <v>302</v>
      </c>
    </row>
    <row r="39" spans="1:32" x14ac:dyDescent="0.2">
      <c r="A39" s="2">
        <v>38</v>
      </c>
      <c r="B39" s="2" t="s">
        <v>303</v>
      </c>
      <c r="C39" s="2" t="s">
        <v>305</v>
      </c>
      <c r="D39" s="2" t="s">
        <v>135</v>
      </c>
      <c r="E39" s="2" t="s">
        <v>106</v>
      </c>
      <c r="F39" s="2" t="s">
        <v>78</v>
      </c>
      <c r="G39" s="4">
        <v>49.3</v>
      </c>
      <c r="H39" s="4">
        <v>4.5999999999999996</v>
      </c>
      <c r="I39" s="6">
        <v>3</v>
      </c>
      <c r="J39" s="4">
        <v>50</v>
      </c>
      <c r="K39" s="4">
        <v>2.9</v>
      </c>
      <c r="L39" s="2">
        <v>3</v>
      </c>
      <c r="M39" s="2" t="s">
        <v>95</v>
      </c>
      <c r="P39" s="2" t="s">
        <v>73</v>
      </c>
      <c r="Q39" s="2" t="s">
        <v>73</v>
      </c>
      <c r="T39" s="2">
        <v>250</v>
      </c>
      <c r="U39" s="2" t="s">
        <v>73</v>
      </c>
      <c r="V39" s="2">
        <v>24</v>
      </c>
      <c r="X39" s="2" t="s">
        <v>89</v>
      </c>
      <c r="Z39" s="2" t="s">
        <v>87</v>
      </c>
      <c r="AA39" s="2" t="s">
        <v>116</v>
      </c>
      <c r="AD39" s="2" t="s">
        <v>142</v>
      </c>
      <c r="AE39" s="2" t="s">
        <v>73</v>
      </c>
      <c r="AF39" s="2" t="s">
        <v>307</v>
      </c>
    </row>
    <row r="40" spans="1:32" x14ac:dyDescent="0.2">
      <c r="A40" s="2">
        <v>39</v>
      </c>
      <c r="B40" s="2" t="s">
        <v>303</v>
      </c>
      <c r="C40" s="2" t="s">
        <v>305</v>
      </c>
      <c r="D40" s="2" t="s">
        <v>135</v>
      </c>
      <c r="E40" s="2" t="s">
        <v>106</v>
      </c>
      <c r="F40" s="2" t="s">
        <v>80</v>
      </c>
      <c r="G40" s="4">
        <v>6.5</v>
      </c>
      <c r="H40" s="4">
        <v>0.4</v>
      </c>
      <c r="I40" s="6">
        <v>3</v>
      </c>
      <c r="J40" s="4">
        <v>7.4</v>
      </c>
      <c r="K40" s="4">
        <v>0.2</v>
      </c>
      <c r="L40" s="2">
        <v>3</v>
      </c>
      <c r="M40" s="2" t="s">
        <v>95</v>
      </c>
      <c r="P40" s="2" t="s">
        <v>73</v>
      </c>
      <c r="Q40" s="2" t="s">
        <v>73</v>
      </c>
      <c r="T40" s="2">
        <v>250</v>
      </c>
      <c r="U40" s="2" t="s">
        <v>73</v>
      </c>
      <c r="V40" s="2">
        <v>24</v>
      </c>
      <c r="X40" s="2" t="s">
        <v>89</v>
      </c>
      <c r="Z40" s="2" t="s">
        <v>87</v>
      </c>
      <c r="AA40" s="2" t="s">
        <v>116</v>
      </c>
      <c r="AD40" s="2" t="s">
        <v>142</v>
      </c>
      <c r="AE40" s="2" t="s">
        <v>73</v>
      </c>
      <c r="AF40" s="2" t="s">
        <v>307</v>
      </c>
    </row>
    <row r="41" spans="1:32" x14ac:dyDescent="0.2">
      <c r="A41" s="2">
        <v>40</v>
      </c>
      <c r="B41" s="2" t="s">
        <v>303</v>
      </c>
      <c r="C41" s="2" t="s">
        <v>197</v>
      </c>
      <c r="D41" s="2" t="s">
        <v>84</v>
      </c>
      <c r="E41" s="2" t="s">
        <v>85</v>
      </c>
      <c r="F41" s="2" t="s">
        <v>78</v>
      </c>
      <c r="G41" s="4">
        <v>85</v>
      </c>
      <c r="H41" s="4">
        <v>14</v>
      </c>
      <c r="I41" s="6">
        <v>3</v>
      </c>
      <c r="J41" s="4">
        <v>47.8</v>
      </c>
      <c r="K41" s="4">
        <v>6.4</v>
      </c>
      <c r="L41" s="2">
        <v>3</v>
      </c>
      <c r="M41" s="2" t="s">
        <v>95</v>
      </c>
      <c r="P41" s="2" t="s">
        <v>73</v>
      </c>
      <c r="Q41" s="2" t="s">
        <v>73</v>
      </c>
      <c r="T41" s="2">
        <v>250</v>
      </c>
      <c r="U41" s="2" t="s">
        <v>73</v>
      </c>
      <c r="V41" s="2">
        <v>24</v>
      </c>
      <c r="X41" s="2" t="s">
        <v>89</v>
      </c>
      <c r="Z41" s="2" t="s">
        <v>87</v>
      </c>
      <c r="AA41" s="2" t="s">
        <v>116</v>
      </c>
      <c r="AD41" s="2" t="s">
        <v>142</v>
      </c>
      <c r="AE41" s="2" t="s">
        <v>73</v>
      </c>
      <c r="AF41" s="2" t="s">
        <v>307</v>
      </c>
    </row>
    <row r="42" spans="1:32" x14ac:dyDescent="0.2">
      <c r="A42" s="2">
        <v>41</v>
      </c>
      <c r="B42" s="2" t="s">
        <v>303</v>
      </c>
      <c r="C42" s="2" t="s">
        <v>197</v>
      </c>
      <c r="D42" s="2" t="s">
        <v>84</v>
      </c>
      <c r="E42" s="2" t="s">
        <v>85</v>
      </c>
      <c r="F42" s="2" t="s">
        <v>80</v>
      </c>
      <c r="G42" s="4">
        <v>9.4</v>
      </c>
      <c r="H42" s="4">
        <v>1.2</v>
      </c>
      <c r="I42" s="6">
        <v>3</v>
      </c>
      <c r="J42" s="4">
        <v>7.6</v>
      </c>
      <c r="K42" s="4">
        <v>0.9</v>
      </c>
      <c r="L42" s="2">
        <v>3</v>
      </c>
      <c r="M42" s="2" t="s">
        <v>95</v>
      </c>
      <c r="P42" s="2" t="s">
        <v>73</v>
      </c>
      <c r="Q42" s="2" t="s">
        <v>73</v>
      </c>
      <c r="T42" s="2">
        <v>250</v>
      </c>
      <c r="U42" s="2" t="s">
        <v>73</v>
      </c>
      <c r="V42" s="2">
        <v>24</v>
      </c>
      <c r="X42" s="2" t="s">
        <v>89</v>
      </c>
      <c r="Z42" s="2" t="s">
        <v>87</v>
      </c>
      <c r="AA42" s="2" t="s">
        <v>116</v>
      </c>
      <c r="AD42" s="2" t="s">
        <v>142</v>
      </c>
      <c r="AE42" s="2" t="s">
        <v>73</v>
      </c>
      <c r="AF42" s="2" t="s">
        <v>307</v>
      </c>
    </row>
    <row r="43" spans="1:32" x14ac:dyDescent="0.2">
      <c r="A43" s="2">
        <v>42</v>
      </c>
      <c r="B43" s="2" t="s">
        <v>352</v>
      </c>
      <c r="C43" s="2" t="s">
        <v>356</v>
      </c>
      <c r="D43" s="2" t="s">
        <v>84</v>
      </c>
      <c r="E43" s="2" t="s">
        <v>85</v>
      </c>
      <c r="F43" s="2" t="s">
        <v>80</v>
      </c>
      <c r="G43" s="4">
        <v>6.66</v>
      </c>
      <c r="H43" s="4">
        <v>0.85</v>
      </c>
      <c r="I43" s="2">
        <v>3</v>
      </c>
      <c r="J43" s="4">
        <v>5.84</v>
      </c>
      <c r="K43" s="4">
        <v>0.2</v>
      </c>
      <c r="L43" s="2">
        <v>3</v>
      </c>
      <c r="M43" s="2" t="s">
        <v>75</v>
      </c>
      <c r="N43" s="2" t="s">
        <v>616</v>
      </c>
      <c r="P43" s="2" t="s">
        <v>73</v>
      </c>
      <c r="Q43" s="2" t="s">
        <v>73</v>
      </c>
      <c r="R43" s="2">
        <v>12</v>
      </c>
      <c r="T43" s="2">
        <v>166</v>
      </c>
      <c r="U43" s="2" t="s">
        <v>73</v>
      </c>
      <c r="V43" s="2">
        <v>24</v>
      </c>
      <c r="X43" s="2" t="s">
        <v>98</v>
      </c>
      <c r="Z43" s="2" t="s">
        <v>73</v>
      </c>
      <c r="AA43" s="2" t="s">
        <v>116</v>
      </c>
      <c r="AD43" s="2" t="s">
        <v>72</v>
      </c>
      <c r="AE43" s="2" t="s">
        <v>73</v>
      </c>
      <c r="AF43" s="2" t="s">
        <v>353</v>
      </c>
    </row>
    <row r="44" spans="1:32" x14ac:dyDescent="0.2">
      <c r="A44" s="2">
        <v>43</v>
      </c>
      <c r="B44" s="2" t="s">
        <v>352</v>
      </c>
      <c r="C44" s="2" t="s">
        <v>356</v>
      </c>
      <c r="D44" s="2" t="s">
        <v>84</v>
      </c>
      <c r="E44" s="2" t="s">
        <v>85</v>
      </c>
      <c r="F44" s="2" t="s">
        <v>80</v>
      </c>
      <c r="G44" s="4">
        <v>6.22</v>
      </c>
      <c r="H44" s="4">
        <v>0.28999999999999998</v>
      </c>
      <c r="I44" s="2">
        <v>3</v>
      </c>
      <c r="J44" s="4">
        <v>6.57</v>
      </c>
      <c r="K44" s="4">
        <v>0.99</v>
      </c>
      <c r="L44" s="2">
        <v>3</v>
      </c>
      <c r="M44" s="2" t="s">
        <v>75</v>
      </c>
      <c r="N44" s="2" t="s">
        <v>616</v>
      </c>
      <c r="P44" s="2" t="s">
        <v>73</v>
      </c>
      <c r="Q44" s="2" t="s">
        <v>73</v>
      </c>
      <c r="R44" s="2">
        <v>12</v>
      </c>
      <c r="T44" s="2">
        <v>166</v>
      </c>
      <c r="U44" s="2" t="s">
        <v>73</v>
      </c>
      <c r="V44" s="2">
        <v>24</v>
      </c>
      <c r="X44" s="2" t="s">
        <v>98</v>
      </c>
      <c r="Z44" s="2" t="s">
        <v>73</v>
      </c>
      <c r="AA44" s="2" t="s">
        <v>116</v>
      </c>
      <c r="AD44" s="2" t="s">
        <v>72</v>
      </c>
      <c r="AE44" s="2" t="s">
        <v>73</v>
      </c>
      <c r="AF44" s="2" t="s">
        <v>354</v>
      </c>
    </row>
    <row r="45" spans="1:32" x14ac:dyDescent="0.2">
      <c r="A45" s="2">
        <v>44</v>
      </c>
      <c r="B45" s="2" t="s">
        <v>352</v>
      </c>
      <c r="C45" s="2" t="s">
        <v>355</v>
      </c>
      <c r="D45" s="2" t="s">
        <v>84</v>
      </c>
      <c r="E45" s="2" t="s">
        <v>85</v>
      </c>
      <c r="F45" s="2" t="s">
        <v>80</v>
      </c>
      <c r="G45" s="4">
        <v>5.94</v>
      </c>
      <c r="H45" s="4">
        <v>0.4</v>
      </c>
      <c r="I45" s="2">
        <v>3</v>
      </c>
      <c r="J45" s="4">
        <v>6.02</v>
      </c>
      <c r="K45" s="4">
        <v>0.25</v>
      </c>
      <c r="L45" s="2">
        <v>3</v>
      </c>
      <c r="M45" s="2" t="s">
        <v>75</v>
      </c>
      <c r="N45" s="2" t="s">
        <v>616</v>
      </c>
      <c r="P45" s="2" t="s">
        <v>73</v>
      </c>
      <c r="Q45" s="2" t="s">
        <v>73</v>
      </c>
      <c r="R45" s="2">
        <v>12</v>
      </c>
      <c r="T45" s="2">
        <v>166</v>
      </c>
      <c r="U45" s="2" t="s">
        <v>73</v>
      </c>
      <c r="V45" s="2">
        <v>24</v>
      </c>
      <c r="X45" s="2" t="s">
        <v>98</v>
      </c>
      <c r="Z45" s="2" t="s">
        <v>73</v>
      </c>
      <c r="AA45" s="2" t="s">
        <v>116</v>
      </c>
      <c r="AD45" s="2" t="s">
        <v>72</v>
      </c>
      <c r="AE45" s="2" t="s">
        <v>73</v>
      </c>
      <c r="AF45" s="2" t="s">
        <v>353</v>
      </c>
    </row>
    <row r="46" spans="1:32" x14ac:dyDescent="0.2">
      <c r="A46" s="2">
        <v>45</v>
      </c>
      <c r="B46" s="2" t="s">
        <v>352</v>
      </c>
      <c r="C46" s="2" t="s">
        <v>355</v>
      </c>
      <c r="D46" s="2" t="s">
        <v>84</v>
      </c>
      <c r="E46" s="2" t="s">
        <v>85</v>
      </c>
      <c r="F46" s="2" t="s">
        <v>80</v>
      </c>
      <c r="G46" s="4">
        <v>6.37</v>
      </c>
      <c r="H46" s="4">
        <v>7.0000000000000007E-2</v>
      </c>
      <c r="I46" s="2">
        <v>3</v>
      </c>
      <c r="J46" s="4">
        <v>5.64</v>
      </c>
      <c r="K46" s="4">
        <v>0.13</v>
      </c>
      <c r="L46" s="2">
        <v>3</v>
      </c>
      <c r="M46" s="2" t="s">
        <v>75</v>
      </c>
      <c r="N46" s="2" t="s">
        <v>616</v>
      </c>
      <c r="P46" s="2" t="s">
        <v>73</v>
      </c>
      <c r="Q46" s="2" t="s">
        <v>73</v>
      </c>
      <c r="R46" s="2">
        <v>12</v>
      </c>
      <c r="T46" s="2">
        <v>166</v>
      </c>
      <c r="U46" s="2" t="s">
        <v>73</v>
      </c>
      <c r="V46" s="2">
        <v>24</v>
      </c>
      <c r="X46" s="2" t="s">
        <v>98</v>
      </c>
      <c r="Z46" s="2" t="s">
        <v>73</v>
      </c>
      <c r="AA46" s="2" t="s">
        <v>116</v>
      </c>
      <c r="AD46" s="2" t="s">
        <v>72</v>
      </c>
      <c r="AE46" s="2" t="s">
        <v>73</v>
      </c>
      <c r="AF46" s="2" t="s">
        <v>354</v>
      </c>
    </row>
    <row r="47" spans="1:32" x14ac:dyDescent="0.2">
      <c r="A47" s="2">
        <v>46</v>
      </c>
      <c r="B47" s="2" t="s">
        <v>352</v>
      </c>
      <c r="C47" s="2" t="s">
        <v>357</v>
      </c>
      <c r="D47" s="2" t="s">
        <v>84</v>
      </c>
      <c r="E47" s="2" t="s">
        <v>85</v>
      </c>
      <c r="F47" s="2" t="s">
        <v>80</v>
      </c>
      <c r="G47" s="4">
        <v>6.19</v>
      </c>
      <c r="H47" s="4">
        <v>0.67</v>
      </c>
      <c r="I47" s="2">
        <v>3</v>
      </c>
      <c r="J47" s="4">
        <v>5.8</v>
      </c>
      <c r="K47" s="4">
        <v>0.21</v>
      </c>
      <c r="L47" s="2">
        <v>3</v>
      </c>
      <c r="M47" s="2" t="s">
        <v>75</v>
      </c>
      <c r="N47" s="2" t="s">
        <v>616</v>
      </c>
      <c r="P47" s="2" t="s">
        <v>73</v>
      </c>
      <c r="Q47" s="2" t="s">
        <v>73</v>
      </c>
      <c r="R47" s="2">
        <v>12</v>
      </c>
      <c r="T47" s="2">
        <v>166</v>
      </c>
      <c r="U47" s="2" t="s">
        <v>73</v>
      </c>
      <c r="V47" s="2">
        <v>24</v>
      </c>
      <c r="X47" s="2" t="s">
        <v>98</v>
      </c>
      <c r="Z47" s="2" t="s">
        <v>73</v>
      </c>
      <c r="AA47" s="2" t="s">
        <v>116</v>
      </c>
      <c r="AD47" s="2" t="s">
        <v>72</v>
      </c>
      <c r="AE47" s="2" t="s">
        <v>73</v>
      </c>
      <c r="AF47" s="2" t="s">
        <v>353</v>
      </c>
    </row>
    <row r="48" spans="1:32" x14ac:dyDescent="0.2">
      <c r="A48" s="2">
        <v>47</v>
      </c>
      <c r="B48" s="2" t="s">
        <v>352</v>
      </c>
      <c r="C48" s="2" t="s">
        <v>358</v>
      </c>
      <c r="D48" s="2" t="s">
        <v>84</v>
      </c>
      <c r="E48" s="2" t="s">
        <v>85</v>
      </c>
      <c r="F48" s="2" t="s">
        <v>80</v>
      </c>
      <c r="G48" s="4">
        <v>5.68</v>
      </c>
      <c r="H48" s="4">
        <v>0.13</v>
      </c>
      <c r="I48" s="2">
        <v>3</v>
      </c>
      <c r="J48" s="4">
        <v>5.75</v>
      </c>
      <c r="K48" s="4">
        <v>0.93</v>
      </c>
      <c r="L48" s="2">
        <v>3</v>
      </c>
      <c r="M48" s="2" t="s">
        <v>75</v>
      </c>
      <c r="N48" s="2" t="s">
        <v>616</v>
      </c>
      <c r="P48" s="2" t="s">
        <v>73</v>
      </c>
      <c r="Q48" s="2" t="s">
        <v>73</v>
      </c>
      <c r="R48" s="2">
        <v>12</v>
      </c>
      <c r="T48" s="2">
        <v>166</v>
      </c>
      <c r="U48" s="2" t="s">
        <v>73</v>
      </c>
      <c r="V48" s="2">
        <v>24</v>
      </c>
      <c r="X48" s="2" t="s">
        <v>98</v>
      </c>
      <c r="Z48" s="2" t="s">
        <v>73</v>
      </c>
      <c r="AA48" s="2" t="s">
        <v>116</v>
      </c>
      <c r="AD48" s="2" t="s">
        <v>72</v>
      </c>
      <c r="AE48" s="2" t="s">
        <v>73</v>
      </c>
      <c r="AF48" s="2" t="s">
        <v>353</v>
      </c>
    </row>
    <row r="49" spans="1:32" x14ac:dyDescent="0.2">
      <c r="A49" s="2">
        <v>48</v>
      </c>
      <c r="B49" s="2" t="s">
        <v>352</v>
      </c>
      <c r="C49" s="2" t="s">
        <v>198</v>
      </c>
      <c r="D49" s="2" t="s">
        <v>84</v>
      </c>
      <c r="E49" s="2" t="s">
        <v>85</v>
      </c>
      <c r="F49" s="2" t="s">
        <v>80</v>
      </c>
      <c r="G49" s="4">
        <v>8.4700000000000006</v>
      </c>
      <c r="H49" s="4">
        <v>0.38</v>
      </c>
      <c r="I49" s="2">
        <v>3</v>
      </c>
      <c r="J49" s="4">
        <v>9.44</v>
      </c>
      <c r="K49" s="4">
        <v>0.42</v>
      </c>
      <c r="L49" s="2">
        <v>3</v>
      </c>
      <c r="M49" s="2" t="s">
        <v>75</v>
      </c>
      <c r="N49" s="2" t="s">
        <v>616</v>
      </c>
      <c r="P49" s="2" t="s">
        <v>73</v>
      </c>
      <c r="Q49" s="2" t="s">
        <v>73</v>
      </c>
      <c r="R49" s="2">
        <v>12</v>
      </c>
      <c r="T49" s="2">
        <v>166</v>
      </c>
      <c r="U49" s="2" t="s">
        <v>73</v>
      </c>
      <c r="V49" s="2">
        <v>24</v>
      </c>
      <c r="X49" s="2" t="s">
        <v>98</v>
      </c>
      <c r="Z49" s="2" t="s">
        <v>73</v>
      </c>
      <c r="AA49" s="2" t="s">
        <v>116</v>
      </c>
      <c r="AD49" s="2" t="s">
        <v>72</v>
      </c>
      <c r="AE49" s="2" t="s">
        <v>73</v>
      </c>
      <c r="AF49" s="2" t="s">
        <v>353</v>
      </c>
    </row>
    <row r="50" spans="1:32" x14ac:dyDescent="0.2">
      <c r="A50" s="2">
        <v>49</v>
      </c>
      <c r="B50" s="2" t="s">
        <v>352</v>
      </c>
      <c r="C50" s="2" t="s">
        <v>359</v>
      </c>
      <c r="D50" s="2" t="s">
        <v>84</v>
      </c>
      <c r="E50" s="2" t="s">
        <v>85</v>
      </c>
      <c r="F50" s="2" t="s">
        <v>80</v>
      </c>
      <c r="G50" s="4">
        <v>6.56</v>
      </c>
      <c r="H50" s="4">
        <v>0.41</v>
      </c>
      <c r="I50" s="2">
        <v>3</v>
      </c>
      <c r="J50" s="4">
        <v>6.83</v>
      </c>
      <c r="K50" s="4">
        <v>0.35</v>
      </c>
      <c r="L50" s="2">
        <v>3</v>
      </c>
      <c r="M50" s="2" t="s">
        <v>75</v>
      </c>
      <c r="N50" s="2" t="s">
        <v>616</v>
      </c>
      <c r="P50" s="2" t="s">
        <v>73</v>
      </c>
      <c r="Q50" s="2" t="s">
        <v>73</v>
      </c>
      <c r="R50" s="2">
        <v>12</v>
      </c>
      <c r="T50" s="2">
        <v>166</v>
      </c>
      <c r="U50" s="2" t="s">
        <v>73</v>
      </c>
      <c r="V50" s="2">
        <v>24</v>
      </c>
      <c r="X50" s="2" t="s">
        <v>98</v>
      </c>
      <c r="Z50" s="2" t="s">
        <v>73</v>
      </c>
      <c r="AA50" s="2" t="s">
        <v>116</v>
      </c>
      <c r="AD50" s="2" t="s">
        <v>72</v>
      </c>
      <c r="AE50" s="2" t="s">
        <v>73</v>
      </c>
      <c r="AF50" s="2" t="s">
        <v>353</v>
      </c>
    </row>
    <row r="51" spans="1:32" x14ac:dyDescent="0.2">
      <c r="A51" s="2">
        <v>50</v>
      </c>
      <c r="B51" s="2" t="s">
        <v>352</v>
      </c>
      <c r="C51" s="2" t="s">
        <v>359</v>
      </c>
      <c r="D51" s="2" t="s">
        <v>84</v>
      </c>
      <c r="E51" s="2" t="s">
        <v>85</v>
      </c>
      <c r="F51" s="2" t="s">
        <v>80</v>
      </c>
      <c r="G51" s="4">
        <v>7.54</v>
      </c>
      <c r="H51" s="4">
        <v>0.47</v>
      </c>
      <c r="I51" s="2">
        <v>3</v>
      </c>
      <c r="J51" s="4">
        <v>6.89</v>
      </c>
      <c r="K51" s="4">
        <v>0.34</v>
      </c>
      <c r="L51" s="2">
        <v>3</v>
      </c>
      <c r="M51" s="2" t="s">
        <v>75</v>
      </c>
      <c r="N51" s="2" t="s">
        <v>616</v>
      </c>
      <c r="P51" s="2" t="s">
        <v>73</v>
      </c>
      <c r="Q51" s="2" t="s">
        <v>73</v>
      </c>
      <c r="R51" s="2">
        <v>12</v>
      </c>
      <c r="T51" s="2">
        <v>166</v>
      </c>
      <c r="U51" s="2" t="s">
        <v>73</v>
      </c>
      <c r="V51" s="2">
        <v>24</v>
      </c>
      <c r="X51" s="2" t="s">
        <v>98</v>
      </c>
      <c r="Z51" s="2" t="s">
        <v>73</v>
      </c>
      <c r="AA51" s="2" t="s">
        <v>116</v>
      </c>
      <c r="AD51" s="2" t="s">
        <v>72</v>
      </c>
      <c r="AE51" s="2" t="s">
        <v>73</v>
      </c>
      <c r="AF51" s="2" t="s">
        <v>354</v>
      </c>
    </row>
    <row r="52" spans="1:32" x14ac:dyDescent="0.2">
      <c r="A52" s="2">
        <v>51</v>
      </c>
      <c r="B52" s="2" t="s">
        <v>372</v>
      </c>
      <c r="C52" s="2" t="s">
        <v>373</v>
      </c>
      <c r="D52" s="2" t="s">
        <v>84</v>
      </c>
      <c r="E52" s="2" t="s">
        <v>85</v>
      </c>
      <c r="F52" s="2" t="s">
        <v>80</v>
      </c>
      <c r="G52" s="4">
        <v>8.6999999999999993</v>
      </c>
      <c r="H52" s="4">
        <f>0.1*SQRT(6)</f>
        <v>0.2449489742783178</v>
      </c>
      <c r="I52" s="2">
        <v>6</v>
      </c>
      <c r="J52" s="4">
        <v>7.6</v>
      </c>
      <c r="K52" s="4">
        <f>0.1*SQRT(6)</f>
        <v>0.2449489742783178</v>
      </c>
      <c r="L52" s="2">
        <v>6</v>
      </c>
      <c r="M52" s="2" t="s">
        <v>75</v>
      </c>
      <c r="N52" s="2" t="s">
        <v>616</v>
      </c>
      <c r="P52" s="2" t="s">
        <v>73</v>
      </c>
      <c r="Q52" s="2" t="s">
        <v>73</v>
      </c>
      <c r="R52" s="2">
        <v>3</v>
      </c>
      <c r="T52" s="2">
        <v>45</v>
      </c>
      <c r="U52" s="2" t="s">
        <v>73</v>
      </c>
      <c r="V52" s="2">
        <v>20</v>
      </c>
      <c r="X52" s="2" t="s">
        <v>89</v>
      </c>
      <c r="AA52" s="2" t="s">
        <v>116</v>
      </c>
      <c r="AD52" s="2" t="s">
        <v>235</v>
      </c>
      <c r="AE52" s="2" t="s">
        <v>73</v>
      </c>
      <c r="AF52" s="2" t="s">
        <v>374</v>
      </c>
    </row>
    <row r="53" spans="1:32" x14ac:dyDescent="0.2">
      <c r="A53" s="2">
        <v>52</v>
      </c>
      <c r="B53" s="2" t="s">
        <v>372</v>
      </c>
      <c r="C53" s="2" t="s">
        <v>375</v>
      </c>
      <c r="D53" s="2" t="s">
        <v>84</v>
      </c>
      <c r="E53" s="2" t="s">
        <v>85</v>
      </c>
      <c r="F53" s="2" t="s">
        <v>80</v>
      </c>
      <c r="G53" s="4">
        <v>7.1</v>
      </c>
      <c r="H53" s="4">
        <f>0.1*SQRT(6)</f>
        <v>0.2449489742783178</v>
      </c>
      <c r="I53" s="2">
        <v>6</v>
      </c>
      <c r="J53" s="4">
        <v>6.2</v>
      </c>
      <c r="K53" s="4">
        <f>0.1*SQRT(6)</f>
        <v>0.2449489742783178</v>
      </c>
      <c r="L53" s="2">
        <v>6</v>
      </c>
      <c r="M53" s="2" t="s">
        <v>75</v>
      </c>
      <c r="N53" s="2" t="s">
        <v>616</v>
      </c>
      <c r="P53" s="2" t="s">
        <v>73</v>
      </c>
      <c r="Q53" s="2" t="s">
        <v>73</v>
      </c>
      <c r="R53" s="2">
        <v>3</v>
      </c>
      <c r="T53" s="2">
        <v>60</v>
      </c>
      <c r="U53" s="2" t="s">
        <v>73</v>
      </c>
      <c r="V53" s="2">
        <v>20</v>
      </c>
      <c r="X53" s="2" t="s">
        <v>89</v>
      </c>
      <c r="AA53" s="2" t="s">
        <v>116</v>
      </c>
      <c r="AD53" s="2" t="s">
        <v>235</v>
      </c>
      <c r="AE53" s="2" t="s">
        <v>73</v>
      </c>
      <c r="AF53" s="2" t="s">
        <v>374</v>
      </c>
    </row>
    <row r="54" spans="1:32" x14ac:dyDescent="0.2">
      <c r="A54" s="2">
        <v>53</v>
      </c>
      <c r="B54" s="2" t="s">
        <v>372</v>
      </c>
      <c r="C54" s="2" t="s">
        <v>83</v>
      </c>
      <c r="D54" s="2" t="s">
        <v>84</v>
      </c>
      <c r="E54" s="2" t="s">
        <v>85</v>
      </c>
      <c r="F54" s="2" t="s">
        <v>80</v>
      </c>
      <c r="G54" s="4">
        <v>8</v>
      </c>
      <c r="H54" s="4">
        <f>0.4*SQRT(6)</f>
        <v>0.9797958971132712</v>
      </c>
      <c r="I54" s="2">
        <v>6</v>
      </c>
      <c r="J54" s="4">
        <v>9</v>
      </c>
      <c r="K54" s="4">
        <f>1.1*SQRT(6)</f>
        <v>2.6944387170614958</v>
      </c>
      <c r="L54" s="2">
        <v>6</v>
      </c>
      <c r="M54" s="2" t="s">
        <v>75</v>
      </c>
      <c r="N54" s="2" t="s">
        <v>616</v>
      </c>
      <c r="P54" s="2" t="s">
        <v>73</v>
      </c>
      <c r="Q54" s="2" t="s">
        <v>73</v>
      </c>
      <c r="R54" s="2">
        <v>20</v>
      </c>
      <c r="T54" s="2">
        <v>133</v>
      </c>
      <c r="U54" s="2" t="s">
        <v>73</v>
      </c>
      <c r="V54" s="2">
        <v>20</v>
      </c>
      <c r="X54" s="2" t="s">
        <v>89</v>
      </c>
      <c r="AA54" s="2" t="s">
        <v>116</v>
      </c>
      <c r="AD54" s="2" t="s">
        <v>235</v>
      </c>
      <c r="AE54" s="2" t="s">
        <v>73</v>
      </c>
      <c r="AF54" s="2" t="s">
        <v>374</v>
      </c>
    </row>
    <row r="55" spans="1:32" x14ac:dyDescent="0.2">
      <c r="A55" s="2">
        <v>54</v>
      </c>
      <c r="B55" s="2" t="s">
        <v>385</v>
      </c>
      <c r="C55" s="2" t="s">
        <v>386</v>
      </c>
      <c r="D55" s="2" t="s">
        <v>84</v>
      </c>
      <c r="E55" s="2" t="s">
        <v>85</v>
      </c>
      <c r="F55" s="2" t="s">
        <v>80</v>
      </c>
      <c r="G55" s="4">
        <v>8.8000000000000007</v>
      </c>
      <c r="H55" s="4">
        <f>0.1*SQRT(3)</f>
        <v>0.17320508075688773</v>
      </c>
      <c r="I55" s="2">
        <v>3</v>
      </c>
      <c r="J55" s="4">
        <v>6.5</v>
      </c>
      <c r="K55" s="4">
        <f>0.1*SQRT(3)</f>
        <v>0.17320508075688773</v>
      </c>
      <c r="L55" s="2">
        <v>3</v>
      </c>
      <c r="M55" s="2" t="s">
        <v>75</v>
      </c>
      <c r="N55" s="2" t="s">
        <v>616</v>
      </c>
      <c r="P55" s="2" t="s">
        <v>73</v>
      </c>
      <c r="Q55" s="2" t="s">
        <v>73</v>
      </c>
      <c r="R55" s="2">
        <v>16</v>
      </c>
      <c r="T55" s="2">
        <v>145</v>
      </c>
      <c r="U55" s="2" t="s">
        <v>73</v>
      </c>
      <c r="V55" s="2">
        <v>14</v>
      </c>
      <c r="X55" s="2" t="s">
        <v>98</v>
      </c>
      <c r="Y55" s="2">
        <v>10</v>
      </c>
      <c r="AA55" s="2" t="s">
        <v>116</v>
      </c>
      <c r="AD55" s="2" t="s">
        <v>142</v>
      </c>
      <c r="AE55" s="2" t="s">
        <v>73</v>
      </c>
      <c r="AF55" s="2" t="s">
        <v>387</v>
      </c>
    </row>
    <row r="56" spans="1:32" x14ac:dyDescent="0.2">
      <c r="A56" s="2">
        <v>55</v>
      </c>
      <c r="B56" s="2" t="s">
        <v>385</v>
      </c>
      <c r="C56" s="2" t="s">
        <v>386</v>
      </c>
      <c r="D56" s="2" t="s">
        <v>84</v>
      </c>
      <c r="E56" s="2" t="s">
        <v>85</v>
      </c>
      <c r="F56" s="2" t="s">
        <v>80</v>
      </c>
      <c r="G56" s="4">
        <v>7.6</v>
      </c>
      <c r="H56" s="4">
        <f>0.3*SQRT(3)</f>
        <v>0.51961524227066314</v>
      </c>
      <c r="I56" s="2">
        <v>3</v>
      </c>
      <c r="J56" s="4">
        <v>7.1</v>
      </c>
      <c r="K56" s="4">
        <f>SQRT(0.5)</f>
        <v>0.70710678118654757</v>
      </c>
      <c r="L56" s="2">
        <v>3</v>
      </c>
      <c r="M56" s="2" t="s">
        <v>75</v>
      </c>
      <c r="N56" s="2" t="s">
        <v>616</v>
      </c>
      <c r="P56" s="2" t="s">
        <v>73</v>
      </c>
      <c r="Q56" s="2" t="s">
        <v>73</v>
      </c>
      <c r="R56" s="2">
        <v>16</v>
      </c>
      <c r="T56" s="2">
        <v>145</v>
      </c>
      <c r="U56" s="2" t="s">
        <v>73</v>
      </c>
      <c r="V56" s="2">
        <v>14</v>
      </c>
      <c r="X56" s="2" t="s">
        <v>98</v>
      </c>
      <c r="Y56" s="2">
        <v>10</v>
      </c>
      <c r="AA56" s="2" t="s">
        <v>117</v>
      </c>
      <c r="AD56" s="2" t="s">
        <v>142</v>
      </c>
      <c r="AE56" s="2" t="s">
        <v>73</v>
      </c>
      <c r="AF56" s="2" t="s">
        <v>388</v>
      </c>
    </row>
    <row r="57" spans="1:32" x14ac:dyDescent="0.2">
      <c r="A57" s="2">
        <v>56</v>
      </c>
      <c r="B57" s="2" t="s">
        <v>503</v>
      </c>
      <c r="C57" s="2" t="s">
        <v>499</v>
      </c>
      <c r="D57" s="2" t="s">
        <v>84</v>
      </c>
      <c r="E57" s="2" t="s">
        <v>85</v>
      </c>
      <c r="F57" s="2" t="s">
        <v>78</v>
      </c>
      <c r="G57" s="4">
        <v>96.986891102297847</v>
      </c>
      <c r="H57" s="4">
        <v>17.052424524725332</v>
      </c>
      <c r="I57" s="2">
        <v>2</v>
      </c>
      <c r="J57" s="4">
        <v>107.86010098643359</v>
      </c>
      <c r="K57" s="4">
        <v>3.0790433698695083</v>
      </c>
      <c r="L57" s="2">
        <v>2</v>
      </c>
      <c r="M57" s="2" t="s">
        <v>95</v>
      </c>
      <c r="N57" s="2" t="s">
        <v>616</v>
      </c>
      <c r="P57" s="2" t="s">
        <v>73</v>
      </c>
      <c r="Q57" s="2" t="s">
        <v>73</v>
      </c>
      <c r="R57" s="2">
        <v>20</v>
      </c>
      <c r="T57" s="2">
        <v>100</v>
      </c>
      <c r="U57" s="2" t="s">
        <v>73</v>
      </c>
      <c r="V57" s="2">
        <v>12</v>
      </c>
      <c r="W57" s="2">
        <v>34.200000000000003</v>
      </c>
      <c r="X57" s="2" t="s">
        <v>89</v>
      </c>
      <c r="Z57" s="2" t="s">
        <v>87</v>
      </c>
      <c r="AA57" s="2" t="s">
        <v>116</v>
      </c>
      <c r="AB57" s="2">
        <v>171</v>
      </c>
      <c r="AD57" s="2" t="s">
        <v>60</v>
      </c>
      <c r="AE57" s="2" t="s">
        <v>73</v>
      </c>
      <c r="AF57" s="2" t="s">
        <v>500</v>
      </c>
    </row>
    <row r="58" spans="1:32" x14ac:dyDescent="0.2">
      <c r="A58" s="2">
        <v>57</v>
      </c>
      <c r="B58" s="2" t="s">
        <v>503</v>
      </c>
      <c r="C58" s="2" t="s">
        <v>499</v>
      </c>
      <c r="D58" s="2" t="s">
        <v>84</v>
      </c>
      <c r="E58" s="2" t="s">
        <v>85</v>
      </c>
      <c r="F58" s="2" t="s">
        <v>80</v>
      </c>
      <c r="G58" s="4">
        <v>6.3429766414141415</v>
      </c>
      <c r="H58" s="4">
        <v>1.3615376784206659E-3</v>
      </c>
      <c r="I58" s="2">
        <v>2</v>
      </c>
      <c r="J58" s="4">
        <v>5.9526735841832972</v>
      </c>
      <c r="K58" s="4">
        <v>1.5451713458934537E-2</v>
      </c>
      <c r="L58" s="2">
        <v>2</v>
      </c>
      <c r="M58" s="2" t="s">
        <v>95</v>
      </c>
      <c r="N58" s="2" t="s">
        <v>616</v>
      </c>
      <c r="P58" s="2" t="s">
        <v>73</v>
      </c>
      <c r="Q58" s="2" t="s">
        <v>73</v>
      </c>
      <c r="R58" s="2">
        <v>20</v>
      </c>
      <c r="T58" s="2">
        <v>100</v>
      </c>
      <c r="U58" s="2" t="s">
        <v>73</v>
      </c>
      <c r="V58" s="2">
        <v>12</v>
      </c>
      <c r="W58" s="2">
        <v>34.200000000000003</v>
      </c>
      <c r="X58" s="2" t="s">
        <v>89</v>
      </c>
      <c r="Z58" s="2" t="s">
        <v>87</v>
      </c>
      <c r="AA58" s="2" t="s">
        <v>116</v>
      </c>
      <c r="AB58" s="2">
        <v>171</v>
      </c>
      <c r="AD58" s="2" t="s">
        <v>60</v>
      </c>
      <c r="AE58" s="2" t="s">
        <v>73</v>
      </c>
      <c r="AF58" s="2" t="s">
        <v>500</v>
      </c>
    </row>
    <row r="59" spans="1:32" x14ac:dyDescent="0.2">
      <c r="A59" s="2">
        <v>58</v>
      </c>
      <c r="B59" s="2" t="s">
        <v>503</v>
      </c>
      <c r="C59" s="2" t="s">
        <v>499</v>
      </c>
      <c r="D59" s="2" t="s">
        <v>84</v>
      </c>
      <c r="E59" s="2" t="s">
        <v>85</v>
      </c>
      <c r="F59" s="2" t="s">
        <v>78</v>
      </c>
      <c r="G59" s="4">
        <v>155.13205784777918</v>
      </c>
      <c r="H59" s="4">
        <v>0.51495102015099314</v>
      </c>
      <c r="I59" s="2">
        <v>2</v>
      </c>
      <c r="J59" s="4">
        <v>118.07190745688779</v>
      </c>
      <c r="K59" s="4">
        <v>0.19976995140084119</v>
      </c>
      <c r="L59" s="2">
        <v>2</v>
      </c>
      <c r="M59" s="2" t="s">
        <v>95</v>
      </c>
      <c r="N59" s="2" t="s">
        <v>616</v>
      </c>
      <c r="P59" s="2" t="s">
        <v>73</v>
      </c>
      <c r="Q59" s="2" t="s">
        <v>73</v>
      </c>
      <c r="R59" s="2">
        <v>20</v>
      </c>
      <c r="T59" s="2">
        <v>100</v>
      </c>
      <c r="U59" s="2" t="s">
        <v>73</v>
      </c>
      <c r="V59" s="2">
        <v>12</v>
      </c>
      <c r="W59" s="2">
        <v>34.200000000000003</v>
      </c>
      <c r="X59" s="2" t="s">
        <v>89</v>
      </c>
      <c r="Z59" s="2" t="s">
        <v>87</v>
      </c>
      <c r="AA59" s="2" t="s">
        <v>116</v>
      </c>
      <c r="AB59" s="2">
        <v>386</v>
      </c>
      <c r="AD59" s="2" t="s">
        <v>60</v>
      </c>
      <c r="AE59" s="2" t="s">
        <v>73</v>
      </c>
      <c r="AF59" s="2" t="s">
        <v>501</v>
      </c>
    </row>
    <row r="60" spans="1:32" x14ac:dyDescent="0.2">
      <c r="A60" s="2">
        <v>59</v>
      </c>
      <c r="B60" s="2" t="s">
        <v>503</v>
      </c>
      <c r="C60" s="2" t="s">
        <v>499</v>
      </c>
      <c r="D60" s="2" t="s">
        <v>84</v>
      </c>
      <c r="E60" s="2" t="s">
        <v>85</v>
      </c>
      <c r="F60" s="2" t="s">
        <v>80</v>
      </c>
      <c r="G60" s="4">
        <v>6.5675587523884849</v>
      </c>
      <c r="H60" s="4">
        <v>2.5059191290642203E-2</v>
      </c>
      <c r="I60" s="2">
        <v>2</v>
      </c>
      <c r="J60" s="4">
        <v>5.8157541696984616</v>
      </c>
      <c r="K60" s="4">
        <v>4.9451160525701567E-2</v>
      </c>
      <c r="L60" s="2">
        <v>2</v>
      </c>
      <c r="M60" s="2" t="s">
        <v>95</v>
      </c>
      <c r="N60" s="2" t="s">
        <v>616</v>
      </c>
      <c r="P60" s="2" t="s">
        <v>73</v>
      </c>
      <c r="Q60" s="2" t="s">
        <v>73</v>
      </c>
      <c r="R60" s="2">
        <v>20</v>
      </c>
      <c r="T60" s="2">
        <v>100</v>
      </c>
      <c r="U60" s="2" t="s">
        <v>73</v>
      </c>
      <c r="V60" s="2">
        <v>12</v>
      </c>
      <c r="W60" s="2">
        <v>34.200000000000003</v>
      </c>
      <c r="X60" s="2" t="s">
        <v>89</v>
      </c>
      <c r="Z60" s="2" t="s">
        <v>87</v>
      </c>
      <c r="AA60" s="2" t="s">
        <v>116</v>
      </c>
      <c r="AB60" s="2">
        <v>386</v>
      </c>
      <c r="AD60" s="2" t="s">
        <v>60</v>
      </c>
      <c r="AE60" s="2" t="s">
        <v>73</v>
      </c>
      <c r="AF60" s="2" t="s">
        <v>501</v>
      </c>
    </row>
    <row r="61" spans="1:32" x14ac:dyDescent="0.2">
      <c r="A61" s="2">
        <v>60</v>
      </c>
      <c r="B61" s="2" t="s">
        <v>503</v>
      </c>
      <c r="C61" s="2" t="s">
        <v>499</v>
      </c>
      <c r="D61" s="2" t="s">
        <v>84</v>
      </c>
      <c r="E61" s="2" t="s">
        <v>85</v>
      </c>
      <c r="F61" s="2" t="s">
        <v>78</v>
      </c>
      <c r="G61" s="4">
        <v>95.210333841048396</v>
      </c>
      <c r="H61" s="4">
        <v>4.7731515781470222</v>
      </c>
      <c r="I61" s="2">
        <v>2</v>
      </c>
      <c r="J61" s="4">
        <v>144.90368382805076</v>
      </c>
      <c r="K61" s="4">
        <v>26.593128281041938</v>
      </c>
      <c r="L61" s="2">
        <v>2</v>
      </c>
      <c r="M61" s="2" t="s">
        <v>95</v>
      </c>
      <c r="N61" s="2" t="s">
        <v>616</v>
      </c>
      <c r="P61" s="2" t="s">
        <v>73</v>
      </c>
      <c r="Q61" s="2" t="s">
        <v>73</v>
      </c>
      <c r="R61" s="2">
        <v>20</v>
      </c>
      <c r="T61" s="2">
        <v>100</v>
      </c>
      <c r="U61" s="2" t="s">
        <v>73</v>
      </c>
      <c r="V61" s="2">
        <v>12</v>
      </c>
      <c r="W61" s="2">
        <v>34.200000000000003</v>
      </c>
      <c r="X61" s="2" t="s">
        <v>89</v>
      </c>
      <c r="Z61" s="2" t="s">
        <v>87</v>
      </c>
      <c r="AA61" s="2" t="s">
        <v>116</v>
      </c>
      <c r="AB61" s="2">
        <v>614</v>
      </c>
      <c r="AD61" s="2" t="s">
        <v>60</v>
      </c>
      <c r="AE61" s="2" t="s">
        <v>73</v>
      </c>
      <c r="AF61" s="2" t="s">
        <v>502</v>
      </c>
    </row>
    <row r="62" spans="1:32" x14ac:dyDescent="0.2">
      <c r="A62" s="2">
        <v>61</v>
      </c>
      <c r="B62" s="2" t="s">
        <v>503</v>
      </c>
      <c r="C62" s="2" t="s">
        <v>499</v>
      </c>
      <c r="D62" s="2" t="s">
        <v>84</v>
      </c>
      <c r="E62" s="2" t="s">
        <v>85</v>
      </c>
      <c r="F62" s="2" t="s">
        <v>80</v>
      </c>
      <c r="G62" s="4">
        <v>6.5620157751446992</v>
      </c>
      <c r="H62" s="4">
        <v>8.2076705878088269E-2</v>
      </c>
      <c r="I62" s="2">
        <v>2</v>
      </c>
      <c r="J62" s="4">
        <v>5.8979228101741192</v>
      </c>
      <c r="K62" s="4">
        <v>0.18945761769286779</v>
      </c>
      <c r="L62" s="2">
        <v>2</v>
      </c>
      <c r="M62" s="2" t="s">
        <v>95</v>
      </c>
      <c r="N62" s="2" t="s">
        <v>616</v>
      </c>
      <c r="P62" s="2" t="s">
        <v>73</v>
      </c>
      <c r="Q62" s="2" t="s">
        <v>73</v>
      </c>
      <c r="R62" s="2">
        <v>20</v>
      </c>
      <c r="T62" s="2">
        <v>100</v>
      </c>
      <c r="U62" s="2" t="s">
        <v>73</v>
      </c>
      <c r="V62" s="2">
        <v>12</v>
      </c>
      <c r="W62" s="2">
        <v>34.200000000000003</v>
      </c>
      <c r="X62" s="2" t="s">
        <v>89</v>
      </c>
      <c r="Z62" s="2" t="s">
        <v>87</v>
      </c>
      <c r="AA62" s="2" t="s">
        <v>116</v>
      </c>
      <c r="AB62" s="2">
        <v>614</v>
      </c>
      <c r="AD62" s="2" t="s">
        <v>60</v>
      </c>
      <c r="AE62" s="2" t="s">
        <v>73</v>
      </c>
      <c r="AF62" s="2" t="s">
        <v>502</v>
      </c>
    </row>
    <row r="63" spans="1:32" x14ac:dyDescent="0.2">
      <c r="A63" s="2">
        <v>62</v>
      </c>
      <c r="B63" s="2" t="s">
        <v>503</v>
      </c>
      <c r="C63" s="2" t="s">
        <v>499</v>
      </c>
      <c r="D63" s="2" t="s">
        <v>84</v>
      </c>
      <c r="E63" s="2" t="s">
        <v>85</v>
      </c>
      <c r="F63" s="2" t="s">
        <v>78</v>
      </c>
      <c r="G63" s="4">
        <v>119.041665304254</v>
      </c>
      <c r="H63" s="4">
        <v>6.2802748980397247</v>
      </c>
      <c r="I63" s="2">
        <v>2</v>
      </c>
      <c r="J63" s="4">
        <v>155.77455615648645</v>
      </c>
      <c r="K63" s="4">
        <v>15.807609534553407</v>
      </c>
      <c r="L63" s="2">
        <v>2</v>
      </c>
      <c r="M63" s="2" t="s">
        <v>95</v>
      </c>
      <c r="N63" s="2" t="s">
        <v>616</v>
      </c>
      <c r="P63" s="2" t="s">
        <v>73</v>
      </c>
      <c r="Q63" s="2" t="s">
        <v>73</v>
      </c>
      <c r="R63" s="2">
        <v>20</v>
      </c>
      <c r="T63" s="2">
        <v>100</v>
      </c>
      <c r="U63" s="2" t="s">
        <v>73</v>
      </c>
      <c r="V63" s="2">
        <v>12</v>
      </c>
      <c r="W63" s="2">
        <v>34.200000000000003</v>
      </c>
      <c r="X63" s="2" t="s">
        <v>89</v>
      </c>
      <c r="Z63" s="2" t="s">
        <v>87</v>
      </c>
      <c r="AA63" s="2" t="s">
        <v>116</v>
      </c>
      <c r="AB63" s="2">
        <v>795</v>
      </c>
      <c r="AD63" s="2" t="s">
        <v>60</v>
      </c>
      <c r="AE63" s="2" t="s">
        <v>73</v>
      </c>
      <c r="AF63" s="2" t="s">
        <v>502</v>
      </c>
    </row>
    <row r="64" spans="1:32" x14ac:dyDescent="0.2">
      <c r="A64" s="2">
        <v>63</v>
      </c>
      <c r="B64" s="2" t="s">
        <v>503</v>
      </c>
      <c r="C64" s="2" t="s">
        <v>499</v>
      </c>
      <c r="D64" s="2" t="s">
        <v>84</v>
      </c>
      <c r="E64" s="2" t="s">
        <v>85</v>
      </c>
      <c r="F64" s="2" t="s">
        <v>80</v>
      </c>
      <c r="G64" s="4">
        <v>6.5013764536693621</v>
      </c>
      <c r="H64" s="4">
        <v>2.1284834842305395E-2</v>
      </c>
      <c r="I64" s="2">
        <v>2</v>
      </c>
      <c r="J64" s="4">
        <v>5.9354264597070792</v>
      </c>
      <c r="K64" s="4">
        <v>5.6298978327888112E-2</v>
      </c>
      <c r="L64" s="2">
        <v>2</v>
      </c>
      <c r="M64" s="2" t="s">
        <v>95</v>
      </c>
      <c r="N64" s="2" t="s">
        <v>616</v>
      </c>
      <c r="P64" s="2" t="s">
        <v>73</v>
      </c>
      <c r="Q64" s="2" t="s">
        <v>73</v>
      </c>
      <c r="R64" s="2">
        <v>20</v>
      </c>
      <c r="T64" s="2">
        <v>100</v>
      </c>
      <c r="U64" s="2" t="s">
        <v>73</v>
      </c>
      <c r="V64" s="2">
        <v>12</v>
      </c>
      <c r="W64" s="2">
        <v>34.200000000000003</v>
      </c>
      <c r="X64" s="2" t="s">
        <v>89</v>
      </c>
      <c r="Z64" s="2" t="s">
        <v>87</v>
      </c>
      <c r="AA64" s="2" t="s">
        <v>116</v>
      </c>
      <c r="AB64" s="2">
        <v>795</v>
      </c>
      <c r="AD64" s="2" t="s">
        <v>60</v>
      </c>
      <c r="AE64" s="2" t="s">
        <v>73</v>
      </c>
      <c r="AF64" s="2" t="s">
        <v>502</v>
      </c>
    </row>
    <row r="65" spans="1:32" x14ac:dyDescent="0.2">
      <c r="A65" s="2">
        <v>64</v>
      </c>
      <c r="B65" s="2" t="s">
        <v>504</v>
      </c>
      <c r="C65" s="2" t="s">
        <v>237</v>
      </c>
      <c r="D65" s="2" t="s">
        <v>84</v>
      </c>
      <c r="E65" s="2" t="s">
        <v>85</v>
      </c>
      <c r="F65" s="2" t="s">
        <v>78</v>
      </c>
      <c r="G65" s="4">
        <v>80.34</v>
      </c>
      <c r="H65" s="4">
        <v>3.266833329081853</v>
      </c>
      <c r="I65" s="2">
        <v>2</v>
      </c>
      <c r="J65" s="4">
        <v>95.93</v>
      </c>
      <c r="K65" s="4">
        <v>5.3315851301465722</v>
      </c>
      <c r="L65" s="2">
        <v>2</v>
      </c>
      <c r="M65" s="2" t="s">
        <v>95</v>
      </c>
      <c r="N65" s="2" t="s">
        <v>616</v>
      </c>
      <c r="P65" s="2" t="s">
        <v>73</v>
      </c>
      <c r="Q65" s="2" t="s">
        <v>73</v>
      </c>
      <c r="R65" s="2">
        <v>20</v>
      </c>
      <c r="T65" s="2">
        <v>150</v>
      </c>
      <c r="U65" s="2" t="s">
        <v>73</v>
      </c>
      <c r="V65" s="2">
        <v>12</v>
      </c>
      <c r="W65" s="2">
        <v>34.200000000000003</v>
      </c>
      <c r="X65" s="2" t="s">
        <v>89</v>
      </c>
      <c r="AA65" s="2" t="s">
        <v>116</v>
      </c>
      <c r="AB65" s="2">
        <v>386</v>
      </c>
      <c r="AD65" s="2" t="s">
        <v>60</v>
      </c>
      <c r="AE65" s="2" t="s">
        <v>73</v>
      </c>
      <c r="AF65" s="2" t="s">
        <v>506</v>
      </c>
    </row>
    <row r="66" spans="1:32" x14ac:dyDescent="0.2">
      <c r="A66" s="2">
        <v>65</v>
      </c>
      <c r="B66" s="2" t="s">
        <v>504</v>
      </c>
      <c r="C66" s="2" t="s">
        <v>237</v>
      </c>
      <c r="D66" s="2" t="s">
        <v>84</v>
      </c>
      <c r="E66" s="2" t="s">
        <v>85</v>
      </c>
      <c r="F66" s="2" t="s">
        <v>80</v>
      </c>
      <c r="G66" s="4">
        <v>5.4950000000000001</v>
      </c>
      <c r="H66" s="4">
        <v>0.10606601717798238</v>
      </c>
      <c r="I66" s="2">
        <v>2</v>
      </c>
      <c r="J66" s="4">
        <v>5.71</v>
      </c>
      <c r="K66" s="4">
        <v>5.6568542494923851E-2</v>
      </c>
      <c r="L66" s="2">
        <v>2</v>
      </c>
      <c r="M66" s="2" t="s">
        <v>95</v>
      </c>
      <c r="N66" s="2" t="s">
        <v>616</v>
      </c>
      <c r="P66" s="2" t="s">
        <v>73</v>
      </c>
      <c r="Q66" s="2" t="s">
        <v>73</v>
      </c>
      <c r="R66" s="2">
        <v>20</v>
      </c>
      <c r="T66" s="2">
        <v>150</v>
      </c>
      <c r="U66" s="2" t="s">
        <v>73</v>
      </c>
      <c r="V66" s="2">
        <v>12</v>
      </c>
      <c r="W66" s="2">
        <v>34.200000000000003</v>
      </c>
      <c r="X66" s="2" t="s">
        <v>89</v>
      </c>
      <c r="AA66" s="2" t="s">
        <v>116</v>
      </c>
      <c r="AB66" s="2">
        <v>386</v>
      </c>
      <c r="AD66" s="2" t="s">
        <v>60</v>
      </c>
      <c r="AE66" s="2" t="s">
        <v>73</v>
      </c>
      <c r="AF66" s="2" t="s">
        <v>506</v>
      </c>
    </row>
    <row r="67" spans="1:32" x14ac:dyDescent="0.2">
      <c r="A67" s="2">
        <v>66</v>
      </c>
      <c r="B67" s="2" t="s">
        <v>504</v>
      </c>
      <c r="C67" s="2" t="s">
        <v>237</v>
      </c>
      <c r="D67" s="2" t="s">
        <v>84</v>
      </c>
      <c r="E67" s="2" t="s">
        <v>85</v>
      </c>
      <c r="F67" s="2" t="s">
        <v>78</v>
      </c>
      <c r="G67" s="4">
        <v>86.92</v>
      </c>
      <c r="H67" s="4">
        <v>5.2325901807804556</v>
      </c>
      <c r="I67" s="2">
        <v>2</v>
      </c>
      <c r="J67" s="4">
        <v>90.944999999999993</v>
      </c>
      <c r="K67" s="4">
        <v>1.124299782086603</v>
      </c>
      <c r="L67" s="2">
        <v>2</v>
      </c>
      <c r="M67" s="2" t="s">
        <v>95</v>
      </c>
      <c r="N67" s="2" t="s">
        <v>616</v>
      </c>
      <c r="P67" s="2" t="s">
        <v>73</v>
      </c>
      <c r="Q67" s="2" t="s">
        <v>73</v>
      </c>
      <c r="R67" s="2">
        <v>20</v>
      </c>
      <c r="T67" s="2">
        <v>150</v>
      </c>
      <c r="U67" s="2" t="s">
        <v>73</v>
      </c>
      <c r="V67" s="2">
        <v>12</v>
      </c>
      <c r="W67" s="2">
        <v>34.200000000000003</v>
      </c>
      <c r="X67" s="2" t="s">
        <v>89</v>
      </c>
      <c r="AA67" s="2" t="s">
        <v>116</v>
      </c>
      <c r="AB67" s="2">
        <v>614</v>
      </c>
      <c r="AD67" s="2" t="s">
        <v>60</v>
      </c>
      <c r="AE67" s="2" t="s">
        <v>73</v>
      </c>
      <c r="AF67" s="2" t="s">
        <v>507</v>
      </c>
    </row>
    <row r="68" spans="1:32" x14ac:dyDescent="0.2">
      <c r="A68" s="2">
        <v>67</v>
      </c>
      <c r="B68" s="2" t="s">
        <v>504</v>
      </c>
      <c r="C68" s="2" t="s">
        <v>237</v>
      </c>
      <c r="D68" s="2" t="s">
        <v>84</v>
      </c>
      <c r="E68" s="2" t="s">
        <v>85</v>
      </c>
      <c r="F68" s="2" t="s">
        <v>80</v>
      </c>
      <c r="G68" s="4">
        <v>5.7450000000000001</v>
      </c>
      <c r="H68" s="4">
        <v>0.13435028842544369</v>
      </c>
      <c r="I68" s="2">
        <v>2</v>
      </c>
      <c r="J68" s="4">
        <v>5.5399999999999991</v>
      </c>
      <c r="K68" s="4">
        <v>2.8284271247461926E-2</v>
      </c>
      <c r="L68" s="2">
        <v>2</v>
      </c>
      <c r="M68" s="2" t="s">
        <v>95</v>
      </c>
      <c r="N68" s="2" t="s">
        <v>616</v>
      </c>
      <c r="P68" s="2" t="s">
        <v>73</v>
      </c>
      <c r="Q68" s="2" t="s">
        <v>73</v>
      </c>
      <c r="R68" s="2">
        <v>20</v>
      </c>
      <c r="T68" s="2">
        <v>150</v>
      </c>
      <c r="U68" s="2" t="s">
        <v>73</v>
      </c>
      <c r="V68" s="2">
        <v>12</v>
      </c>
      <c r="W68" s="2">
        <v>34.200000000000003</v>
      </c>
      <c r="X68" s="2" t="s">
        <v>89</v>
      </c>
      <c r="AA68" s="2" t="s">
        <v>116</v>
      </c>
      <c r="AB68" s="2">
        <v>614</v>
      </c>
      <c r="AD68" s="2" t="s">
        <v>60</v>
      </c>
      <c r="AE68" s="2" t="s">
        <v>73</v>
      </c>
      <c r="AF68" s="2" t="s">
        <v>507</v>
      </c>
    </row>
    <row r="69" spans="1:32" x14ac:dyDescent="0.2">
      <c r="A69" s="2">
        <v>68</v>
      </c>
      <c r="B69" s="2" t="s">
        <v>504</v>
      </c>
      <c r="C69" s="2" t="s">
        <v>237</v>
      </c>
      <c r="D69" s="2" t="s">
        <v>84</v>
      </c>
      <c r="E69" s="2" t="s">
        <v>85</v>
      </c>
      <c r="F69" s="2" t="s">
        <v>78</v>
      </c>
      <c r="G69" s="4">
        <v>81.60499999999999</v>
      </c>
      <c r="H69" s="4">
        <v>5.2962297910872378</v>
      </c>
      <c r="I69" s="2">
        <v>2</v>
      </c>
      <c r="J69" s="4">
        <v>88.300000000000011</v>
      </c>
      <c r="K69" s="4">
        <v>0.84852813742385902</v>
      </c>
      <c r="L69" s="2">
        <v>2</v>
      </c>
      <c r="M69" s="2" t="s">
        <v>95</v>
      </c>
      <c r="N69" s="2" t="s">
        <v>616</v>
      </c>
      <c r="P69" s="2" t="s">
        <v>73</v>
      </c>
      <c r="Q69" s="2" t="s">
        <v>73</v>
      </c>
      <c r="R69" s="2">
        <v>20</v>
      </c>
      <c r="T69" s="2">
        <v>150</v>
      </c>
      <c r="U69" s="2" t="s">
        <v>73</v>
      </c>
      <c r="V69" s="2">
        <v>12</v>
      </c>
      <c r="W69" s="2">
        <v>34.200000000000003</v>
      </c>
      <c r="X69" s="2" t="s">
        <v>89</v>
      </c>
      <c r="AA69" s="2" t="s">
        <v>116</v>
      </c>
      <c r="AB69" s="2">
        <v>795</v>
      </c>
      <c r="AD69" s="2" t="s">
        <v>60</v>
      </c>
      <c r="AE69" s="2" t="s">
        <v>73</v>
      </c>
      <c r="AF69" s="2" t="s">
        <v>508</v>
      </c>
    </row>
    <row r="70" spans="1:32" x14ac:dyDescent="0.2">
      <c r="A70" s="2">
        <v>69</v>
      </c>
      <c r="B70" s="2" t="s">
        <v>504</v>
      </c>
      <c r="C70" s="2" t="s">
        <v>237</v>
      </c>
      <c r="D70" s="2" t="s">
        <v>84</v>
      </c>
      <c r="E70" s="2" t="s">
        <v>85</v>
      </c>
      <c r="F70" s="2" t="s">
        <v>80</v>
      </c>
      <c r="G70" s="4">
        <v>5.4850000000000003</v>
      </c>
      <c r="H70" s="4">
        <v>0.12020815280171303</v>
      </c>
      <c r="I70" s="2">
        <v>2</v>
      </c>
      <c r="J70" s="4">
        <v>5.5150000000000006</v>
      </c>
      <c r="K70" s="4">
        <v>0.2050609665440988</v>
      </c>
      <c r="L70" s="2">
        <v>2</v>
      </c>
      <c r="M70" s="2" t="s">
        <v>95</v>
      </c>
      <c r="N70" s="2" t="s">
        <v>616</v>
      </c>
      <c r="P70" s="2" t="s">
        <v>73</v>
      </c>
      <c r="Q70" s="2" t="s">
        <v>73</v>
      </c>
      <c r="R70" s="2">
        <v>20</v>
      </c>
      <c r="T70" s="2">
        <v>150</v>
      </c>
      <c r="U70" s="2" t="s">
        <v>73</v>
      </c>
      <c r="V70" s="2">
        <v>12</v>
      </c>
      <c r="W70" s="2">
        <v>34.200000000000003</v>
      </c>
      <c r="X70" s="2" t="s">
        <v>89</v>
      </c>
      <c r="AA70" s="2" t="s">
        <v>116</v>
      </c>
      <c r="AB70" s="2">
        <v>795</v>
      </c>
      <c r="AD70" s="2" t="s">
        <v>60</v>
      </c>
      <c r="AE70" s="2" t="s">
        <v>73</v>
      </c>
      <c r="AF70" s="2" t="s">
        <v>508</v>
      </c>
    </row>
    <row r="71" spans="1:32" x14ac:dyDescent="0.2">
      <c r="A71" s="2">
        <v>70</v>
      </c>
      <c r="B71" s="2" t="s">
        <v>505</v>
      </c>
      <c r="C71" s="2" t="s">
        <v>509</v>
      </c>
      <c r="D71" s="2" t="s">
        <v>84</v>
      </c>
      <c r="E71" s="2" t="s">
        <v>85</v>
      </c>
      <c r="F71" s="2" t="s">
        <v>80</v>
      </c>
      <c r="G71" s="4">
        <v>6.706161137440759</v>
      </c>
      <c r="H71" s="4">
        <v>0.76925163221940307</v>
      </c>
      <c r="I71" s="2">
        <v>3</v>
      </c>
      <c r="J71" s="4">
        <v>6.3566878980891719</v>
      </c>
      <c r="K71" s="4">
        <v>1.2880654274352763</v>
      </c>
      <c r="L71" s="2">
        <v>3</v>
      </c>
      <c r="M71" s="2" t="s">
        <v>95</v>
      </c>
      <c r="N71" s="2" t="s">
        <v>616</v>
      </c>
      <c r="P71" s="2" t="s">
        <v>73</v>
      </c>
      <c r="Q71" s="2" t="s">
        <v>73</v>
      </c>
      <c r="R71" s="2">
        <v>10</v>
      </c>
      <c r="T71" s="2">
        <v>150</v>
      </c>
      <c r="U71" s="2" t="s">
        <v>73</v>
      </c>
      <c r="V71" s="2">
        <v>12</v>
      </c>
      <c r="X71" s="2" t="s">
        <v>98</v>
      </c>
      <c r="Y71" s="2">
        <v>10</v>
      </c>
      <c r="AA71" s="2" t="s">
        <v>116</v>
      </c>
      <c r="AD71" s="2" t="s">
        <v>360</v>
      </c>
      <c r="AE71" s="2" t="s">
        <v>87</v>
      </c>
      <c r="AF71" s="2" t="s">
        <v>510</v>
      </c>
    </row>
    <row r="72" spans="1:32" x14ac:dyDescent="0.2">
      <c r="A72" s="2">
        <v>71</v>
      </c>
      <c r="B72" s="2" t="s">
        <v>583</v>
      </c>
      <c r="C72" s="2" t="s">
        <v>278</v>
      </c>
      <c r="D72" s="2" t="s">
        <v>121</v>
      </c>
      <c r="E72" s="2" t="s">
        <v>106</v>
      </c>
      <c r="F72" s="2" t="s">
        <v>78</v>
      </c>
      <c r="G72" s="4">
        <v>156.93</v>
      </c>
      <c r="H72" s="4">
        <v>1.4379999999999882</v>
      </c>
      <c r="I72" s="2">
        <v>3</v>
      </c>
      <c r="J72" s="4">
        <v>156.72399999999999</v>
      </c>
      <c r="K72" s="4">
        <v>6.5340000000000202</v>
      </c>
      <c r="L72" s="2">
        <v>3</v>
      </c>
      <c r="M72" s="2" t="s">
        <v>75</v>
      </c>
      <c r="P72" s="2" t="s">
        <v>73</v>
      </c>
      <c r="Q72" s="2" t="s">
        <v>73</v>
      </c>
      <c r="R72" s="2">
        <v>2</v>
      </c>
      <c r="T72" s="2">
        <v>50</v>
      </c>
      <c r="U72" s="2" t="s">
        <v>73</v>
      </c>
      <c r="V72" s="2">
        <v>24</v>
      </c>
      <c r="X72" s="2" t="s">
        <v>98</v>
      </c>
      <c r="Y72" s="2">
        <v>10</v>
      </c>
      <c r="AA72" s="2" t="s">
        <v>116</v>
      </c>
      <c r="AB72" s="2">
        <v>380</v>
      </c>
      <c r="AD72" s="2" t="s">
        <v>189</v>
      </c>
      <c r="AE72" s="2" t="s">
        <v>87</v>
      </c>
      <c r="AF72" s="2" t="s">
        <v>584</v>
      </c>
    </row>
    <row r="73" spans="1:32" x14ac:dyDescent="0.2">
      <c r="A73" s="2">
        <v>72</v>
      </c>
      <c r="B73" s="2" t="s">
        <v>583</v>
      </c>
      <c r="C73" s="2" t="s">
        <v>278</v>
      </c>
      <c r="D73" s="2" t="s">
        <v>121</v>
      </c>
      <c r="E73" s="2" t="s">
        <v>106</v>
      </c>
      <c r="F73" s="2" t="s">
        <v>80</v>
      </c>
      <c r="G73" s="4">
        <v>7.4160000000000004</v>
      </c>
      <c r="H73" s="4">
        <v>0.74499999999999922</v>
      </c>
      <c r="I73" s="2">
        <v>3</v>
      </c>
      <c r="J73" s="4">
        <v>7.58</v>
      </c>
      <c r="K73" s="4">
        <v>1.0980000000000008</v>
      </c>
      <c r="L73" s="2">
        <v>3</v>
      </c>
      <c r="M73" s="2" t="s">
        <v>75</v>
      </c>
      <c r="P73" s="2" t="s">
        <v>73</v>
      </c>
      <c r="Q73" s="2" t="s">
        <v>73</v>
      </c>
      <c r="R73" s="2">
        <v>2</v>
      </c>
      <c r="T73" s="2">
        <v>50</v>
      </c>
      <c r="U73" s="2" t="s">
        <v>73</v>
      </c>
      <c r="V73" s="2">
        <v>24</v>
      </c>
      <c r="X73" s="2" t="s">
        <v>98</v>
      </c>
      <c r="Y73" s="2">
        <v>10</v>
      </c>
      <c r="AA73" s="2" t="s">
        <v>116</v>
      </c>
      <c r="AB73" s="2">
        <v>380</v>
      </c>
      <c r="AD73" s="2" t="s">
        <v>189</v>
      </c>
      <c r="AE73" s="2" t="s">
        <v>87</v>
      </c>
      <c r="AF73" s="2" t="s">
        <v>584</v>
      </c>
    </row>
    <row r="74" spans="1:32" x14ac:dyDescent="0.2">
      <c r="A74" s="2">
        <v>73</v>
      </c>
      <c r="B74" s="2" t="s">
        <v>583</v>
      </c>
      <c r="C74" s="2" t="s">
        <v>278</v>
      </c>
      <c r="D74" s="2" t="s">
        <v>121</v>
      </c>
      <c r="E74" s="2" t="s">
        <v>106</v>
      </c>
      <c r="F74" s="2" t="s">
        <v>78</v>
      </c>
      <c r="G74" s="4">
        <v>164.28</v>
      </c>
      <c r="H74" s="4">
        <v>25.534999999999997</v>
      </c>
      <c r="I74" s="2">
        <v>3</v>
      </c>
      <c r="J74" s="4">
        <v>178.96799999999999</v>
      </c>
      <c r="K74" s="4">
        <v>16.165999999999997</v>
      </c>
      <c r="L74" s="2">
        <v>3</v>
      </c>
      <c r="M74" s="2" t="s">
        <v>75</v>
      </c>
      <c r="P74" s="2" t="s">
        <v>73</v>
      </c>
      <c r="Q74" s="2" t="s">
        <v>73</v>
      </c>
      <c r="R74" s="2">
        <v>4</v>
      </c>
      <c r="T74" s="2">
        <v>100</v>
      </c>
      <c r="U74" s="2" t="s">
        <v>73</v>
      </c>
      <c r="V74" s="2">
        <v>24</v>
      </c>
      <c r="X74" s="2" t="s">
        <v>98</v>
      </c>
      <c r="Y74" s="2">
        <v>10</v>
      </c>
      <c r="AA74" s="2" t="s">
        <v>116</v>
      </c>
      <c r="AB74" s="2">
        <v>600</v>
      </c>
      <c r="AD74" s="2" t="s">
        <v>189</v>
      </c>
      <c r="AE74" s="2" t="s">
        <v>87</v>
      </c>
      <c r="AF74" s="2" t="s">
        <v>585</v>
      </c>
    </row>
    <row r="75" spans="1:32" x14ac:dyDescent="0.2">
      <c r="A75" s="2">
        <v>74</v>
      </c>
      <c r="B75" s="2" t="s">
        <v>583</v>
      </c>
      <c r="C75" s="2" t="s">
        <v>278</v>
      </c>
      <c r="D75" s="2" t="s">
        <v>121</v>
      </c>
      <c r="E75" s="2" t="s">
        <v>106</v>
      </c>
      <c r="F75" s="2" t="s">
        <v>80</v>
      </c>
      <c r="G75" s="4">
        <v>7.41</v>
      </c>
      <c r="H75" s="4">
        <v>0.10400000000000009</v>
      </c>
      <c r="I75" s="2">
        <v>3</v>
      </c>
      <c r="J75" s="4">
        <v>7.3380000000000001</v>
      </c>
      <c r="K75" s="4">
        <v>0.82500000000000018</v>
      </c>
      <c r="L75" s="2">
        <v>3</v>
      </c>
      <c r="M75" s="2" t="s">
        <v>75</v>
      </c>
      <c r="P75" s="2" t="s">
        <v>73</v>
      </c>
      <c r="Q75" s="2" t="s">
        <v>73</v>
      </c>
      <c r="R75" s="2">
        <v>4</v>
      </c>
      <c r="T75" s="2">
        <v>100</v>
      </c>
      <c r="U75" s="2" t="s">
        <v>73</v>
      </c>
      <c r="V75" s="2">
        <v>24</v>
      </c>
      <c r="X75" s="2" t="s">
        <v>98</v>
      </c>
      <c r="Y75" s="2">
        <v>10</v>
      </c>
      <c r="AA75" s="2" t="s">
        <v>116</v>
      </c>
      <c r="AB75" s="2">
        <v>600</v>
      </c>
      <c r="AD75" s="2" t="s">
        <v>189</v>
      </c>
      <c r="AE75" s="2" t="s">
        <v>87</v>
      </c>
      <c r="AF75" s="2" t="s">
        <v>585</v>
      </c>
    </row>
    <row r="76" spans="1:32" x14ac:dyDescent="0.2">
      <c r="A76" s="2">
        <v>75</v>
      </c>
      <c r="B76" s="2" t="s">
        <v>583</v>
      </c>
      <c r="C76" s="2" t="s">
        <v>278</v>
      </c>
      <c r="D76" s="2" t="s">
        <v>121</v>
      </c>
      <c r="E76" s="2" t="s">
        <v>106</v>
      </c>
      <c r="F76" s="2" t="s">
        <v>78</v>
      </c>
      <c r="G76" s="4">
        <v>170.09399999999999</v>
      </c>
      <c r="H76" s="4">
        <v>8.0349999999999966</v>
      </c>
      <c r="I76" s="2">
        <v>3</v>
      </c>
      <c r="J76" s="4">
        <v>159.47499999999999</v>
      </c>
      <c r="K76" s="4">
        <v>9.3979999999999961</v>
      </c>
      <c r="L76" s="2">
        <v>3</v>
      </c>
      <c r="M76" s="2" t="s">
        <v>75</v>
      </c>
      <c r="P76" s="2" t="s">
        <v>73</v>
      </c>
      <c r="Q76" s="2" t="s">
        <v>73</v>
      </c>
      <c r="R76" s="2">
        <v>6</v>
      </c>
      <c r="T76" s="2">
        <v>150</v>
      </c>
      <c r="U76" s="2" t="s">
        <v>73</v>
      </c>
      <c r="V76" s="2">
        <v>24</v>
      </c>
      <c r="X76" s="2" t="s">
        <v>98</v>
      </c>
      <c r="Y76" s="2">
        <v>10</v>
      </c>
      <c r="AA76" s="2" t="s">
        <v>116</v>
      </c>
      <c r="AB76" s="2">
        <v>800</v>
      </c>
      <c r="AD76" s="2" t="s">
        <v>189</v>
      </c>
      <c r="AE76" s="2" t="s">
        <v>87</v>
      </c>
      <c r="AF76" s="2" t="s">
        <v>586</v>
      </c>
    </row>
    <row r="77" spans="1:32" x14ac:dyDescent="0.2">
      <c r="A77" s="2">
        <v>76</v>
      </c>
      <c r="B77" s="2" t="s">
        <v>583</v>
      </c>
      <c r="C77" s="2" t="s">
        <v>278</v>
      </c>
      <c r="D77" s="2" t="s">
        <v>121</v>
      </c>
      <c r="E77" s="2" t="s">
        <v>106</v>
      </c>
      <c r="F77" s="2" t="s">
        <v>80</v>
      </c>
      <c r="G77" s="4">
        <v>8.3960000000000008</v>
      </c>
      <c r="H77" s="4">
        <v>0.95199999999999996</v>
      </c>
      <c r="I77" s="2">
        <v>3</v>
      </c>
      <c r="J77" s="4">
        <v>6.3470000000000004</v>
      </c>
      <c r="K77" s="4">
        <v>0.81199999999999939</v>
      </c>
      <c r="L77" s="2">
        <v>3</v>
      </c>
      <c r="M77" s="2" t="s">
        <v>75</v>
      </c>
      <c r="P77" s="2" t="s">
        <v>73</v>
      </c>
      <c r="Q77" s="2" t="s">
        <v>73</v>
      </c>
      <c r="R77" s="2">
        <v>6</v>
      </c>
      <c r="T77" s="2">
        <v>150</v>
      </c>
      <c r="U77" s="2" t="s">
        <v>73</v>
      </c>
      <c r="V77" s="2">
        <v>24</v>
      </c>
      <c r="X77" s="2" t="s">
        <v>98</v>
      </c>
      <c r="Y77" s="2">
        <v>10</v>
      </c>
      <c r="AA77" s="2" t="s">
        <v>116</v>
      </c>
      <c r="AB77" s="2">
        <v>800</v>
      </c>
      <c r="AD77" s="2" t="s">
        <v>189</v>
      </c>
      <c r="AE77" s="2" t="s">
        <v>87</v>
      </c>
      <c r="AF77" s="2" t="s">
        <v>586</v>
      </c>
    </row>
    <row r="78" spans="1:32" x14ac:dyDescent="0.2">
      <c r="A78" s="2">
        <v>77</v>
      </c>
      <c r="B78" s="2" t="s">
        <v>583</v>
      </c>
      <c r="C78" s="2" t="s">
        <v>587</v>
      </c>
      <c r="D78" s="2" t="s">
        <v>84</v>
      </c>
      <c r="E78" s="2" t="s">
        <v>85</v>
      </c>
      <c r="F78" s="2" t="s">
        <v>78</v>
      </c>
      <c r="G78" s="4">
        <v>83.86</v>
      </c>
      <c r="H78" s="4">
        <v>2.1569999999999965</v>
      </c>
      <c r="I78" s="2">
        <v>3</v>
      </c>
      <c r="J78" s="4">
        <v>89.846000000000004</v>
      </c>
      <c r="K78" s="4">
        <v>6.6989999999999981</v>
      </c>
      <c r="L78" s="2">
        <v>3</v>
      </c>
      <c r="M78" s="2" t="s">
        <v>75</v>
      </c>
      <c r="P78" s="2" t="s">
        <v>73</v>
      </c>
      <c r="Q78" s="2" t="s">
        <v>73</v>
      </c>
      <c r="R78" s="2">
        <v>2</v>
      </c>
      <c r="T78" s="2">
        <v>50</v>
      </c>
      <c r="U78" s="2" t="s">
        <v>73</v>
      </c>
      <c r="V78" s="2">
        <v>24</v>
      </c>
      <c r="X78" s="2" t="s">
        <v>98</v>
      </c>
      <c r="Y78" s="2">
        <v>10</v>
      </c>
      <c r="AA78" s="2" t="s">
        <v>116</v>
      </c>
      <c r="AB78" s="2">
        <v>380</v>
      </c>
      <c r="AD78" s="2" t="s">
        <v>189</v>
      </c>
      <c r="AE78" s="2" t="s">
        <v>87</v>
      </c>
      <c r="AF78" s="2" t="s">
        <v>584</v>
      </c>
    </row>
    <row r="79" spans="1:32" x14ac:dyDescent="0.2">
      <c r="A79" s="2">
        <v>78</v>
      </c>
      <c r="B79" s="2" t="s">
        <v>583</v>
      </c>
      <c r="C79" s="2" t="s">
        <v>587</v>
      </c>
      <c r="D79" s="2" t="s">
        <v>84</v>
      </c>
      <c r="E79" s="2" t="s">
        <v>85</v>
      </c>
      <c r="F79" s="2" t="s">
        <v>80</v>
      </c>
      <c r="G79" s="4">
        <v>6.0650000000000004</v>
      </c>
      <c r="H79" s="4">
        <v>0.99499999999999922</v>
      </c>
      <c r="I79" s="2">
        <v>3</v>
      </c>
      <c r="J79" s="4">
        <v>5.976</v>
      </c>
      <c r="K79" s="4">
        <v>0.48000000000000043</v>
      </c>
      <c r="L79" s="2">
        <v>3</v>
      </c>
      <c r="M79" s="2" t="s">
        <v>75</v>
      </c>
      <c r="P79" s="2" t="s">
        <v>73</v>
      </c>
      <c r="Q79" s="2" t="s">
        <v>73</v>
      </c>
      <c r="R79" s="2">
        <v>2</v>
      </c>
      <c r="T79" s="2">
        <v>50</v>
      </c>
      <c r="U79" s="2" t="s">
        <v>73</v>
      </c>
      <c r="V79" s="2">
        <v>24</v>
      </c>
      <c r="X79" s="2" t="s">
        <v>98</v>
      </c>
      <c r="Y79" s="2">
        <v>10</v>
      </c>
      <c r="AA79" s="2" t="s">
        <v>116</v>
      </c>
      <c r="AB79" s="2">
        <v>380</v>
      </c>
      <c r="AD79" s="2" t="s">
        <v>189</v>
      </c>
      <c r="AE79" s="2" t="s">
        <v>87</v>
      </c>
      <c r="AF79" s="2" t="s">
        <v>584</v>
      </c>
    </row>
    <row r="80" spans="1:32" x14ac:dyDescent="0.2">
      <c r="A80" s="2">
        <v>79</v>
      </c>
      <c r="B80" s="2" t="s">
        <v>583</v>
      </c>
      <c r="C80" s="2" t="s">
        <v>587</v>
      </c>
      <c r="D80" s="2" t="s">
        <v>84</v>
      </c>
      <c r="E80" s="2" t="s">
        <v>85</v>
      </c>
      <c r="F80" s="2" t="s">
        <v>78</v>
      </c>
      <c r="G80" s="4">
        <v>44.537999999999997</v>
      </c>
      <c r="H80" s="4">
        <v>20.582999999999998</v>
      </c>
      <c r="I80" s="2">
        <v>3</v>
      </c>
      <c r="J80" s="4">
        <v>57.063000000000002</v>
      </c>
      <c r="K80" s="4">
        <v>7.1389999999999958</v>
      </c>
      <c r="L80" s="2">
        <v>3</v>
      </c>
      <c r="M80" s="2" t="s">
        <v>75</v>
      </c>
      <c r="P80" s="2" t="s">
        <v>73</v>
      </c>
      <c r="Q80" s="2" t="s">
        <v>73</v>
      </c>
      <c r="R80" s="2">
        <v>4</v>
      </c>
      <c r="T80" s="2">
        <v>100</v>
      </c>
      <c r="U80" s="2" t="s">
        <v>73</v>
      </c>
      <c r="V80" s="2">
        <v>24</v>
      </c>
      <c r="X80" s="2" t="s">
        <v>98</v>
      </c>
      <c r="Y80" s="2">
        <v>10</v>
      </c>
      <c r="AA80" s="2" t="s">
        <v>116</v>
      </c>
      <c r="AB80" s="2">
        <v>600</v>
      </c>
      <c r="AD80" s="2" t="s">
        <v>189</v>
      </c>
      <c r="AE80" s="2" t="s">
        <v>87</v>
      </c>
      <c r="AF80" s="2" t="s">
        <v>585</v>
      </c>
    </row>
    <row r="81" spans="1:32" x14ac:dyDescent="0.2">
      <c r="A81" s="2">
        <v>80</v>
      </c>
      <c r="B81" s="2" t="s">
        <v>583</v>
      </c>
      <c r="C81" s="2" t="s">
        <v>587</v>
      </c>
      <c r="D81" s="2" t="s">
        <v>84</v>
      </c>
      <c r="E81" s="2" t="s">
        <v>85</v>
      </c>
      <c r="F81" s="2" t="s">
        <v>80</v>
      </c>
      <c r="G81" s="4">
        <v>6.5250000000000004</v>
      </c>
      <c r="H81" s="4">
        <v>2.2379999999999995</v>
      </c>
      <c r="I81" s="2">
        <v>3</v>
      </c>
      <c r="J81" s="4">
        <v>5.75</v>
      </c>
      <c r="K81" s="4">
        <v>0.66500000000000004</v>
      </c>
      <c r="L81" s="2">
        <v>3</v>
      </c>
      <c r="M81" s="2" t="s">
        <v>75</v>
      </c>
      <c r="P81" s="2" t="s">
        <v>73</v>
      </c>
      <c r="Q81" s="2" t="s">
        <v>73</v>
      </c>
      <c r="R81" s="2">
        <v>4</v>
      </c>
      <c r="T81" s="2">
        <v>100</v>
      </c>
      <c r="U81" s="2" t="s">
        <v>73</v>
      </c>
      <c r="V81" s="2">
        <v>24</v>
      </c>
      <c r="X81" s="2" t="s">
        <v>98</v>
      </c>
      <c r="Y81" s="2">
        <v>10</v>
      </c>
      <c r="AA81" s="2" t="s">
        <v>116</v>
      </c>
      <c r="AB81" s="2">
        <v>600</v>
      </c>
      <c r="AD81" s="2" t="s">
        <v>189</v>
      </c>
      <c r="AE81" s="2" t="s">
        <v>87</v>
      </c>
      <c r="AF81" s="2" t="s">
        <v>585</v>
      </c>
    </row>
    <row r="82" spans="1:32" x14ac:dyDescent="0.2">
      <c r="A82" s="2">
        <v>81</v>
      </c>
      <c r="B82" s="2" t="s">
        <v>583</v>
      </c>
      <c r="C82" s="2" t="s">
        <v>587</v>
      </c>
      <c r="D82" s="2" t="s">
        <v>84</v>
      </c>
      <c r="E82" s="2" t="s">
        <v>85</v>
      </c>
      <c r="F82" s="2" t="s">
        <v>78</v>
      </c>
      <c r="G82" s="4">
        <v>91.415000000000006</v>
      </c>
      <c r="H82" s="4">
        <v>9.164999999999992</v>
      </c>
      <c r="I82" s="2">
        <v>3</v>
      </c>
      <c r="J82" s="4">
        <v>52.594999999999999</v>
      </c>
      <c r="K82" s="4">
        <v>2.517000000000003</v>
      </c>
      <c r="L82" s="2">
        <v>3</v>
      </c>
      <c r="M82" s="2" t="s">
        <v>75</v>
      </c>
      <c r="P82" s="2" t="s">
        <v>73</v>
      </c>
      <c r="Q82" s="2" t="s">
        <v>73</v>
      </c>
      <c r="R82" s="2">
        <v>6</v>
      </c>
      <c r="T82" s="2">
        <v>150</v>
      </c>
      <c r="U82" s="2" t="s">
        <v>73</v>
      </c>
      <c r="V82" s="2">
        <v>24</v>
      </c>
      <c r="X82" s="2" t="s">
        <v>98</v>
      </c>
      <c r="Y82" s="2">
        <v>10</v>
      </c>
      <c r="AA82" s="2" t="s">
        <v>116</v>
      </c>
      <c r="AB82" s="2">
        <v>800</v>
      </c>
      <c r="AD82" s="2" t="s">
        <v>189</v>
      </c>
      <c r="AE82" s="2" t="s">
        <v>87</v>
      </c>
      <c r="AF82" s="2" t="s">
        <v>586</v>
      </c>
    </row>
    <row r="83" spans="1:32" x14ac:dyDescent="0.2">
      <c r="A83" s="2">
        <v>82</v>
      </c>
      <c r="B83" s="2" t="s">
        <v>583</v>
      </c>
      <c r="C83" s="2" t="s">
        <v>587</v>
      </c>
      <c r="D83" s="2" t="s">
        <v>84</v>
      </c>
      <c r="E83" s="2" t="s">
        <v>85</v>
      </c>
      <c r="F83" s="2" t="s">
        <v>80</v>
      </c>
      <c r="G83" s="4">
        <v>7.3520000000000003</v>
      </c>
      <c r="H83" s="4">
        <v>0.25699999999999967</v>
      </c>
      <c r="I83" s="2">
        <v>3</v>
      </c>
      <c r="J83" s="4">
        <v>8.0809999999999995</v>
      </c>
      <c r="K83" s="4">
        <v>0.24399999999999977</v>
      </c>
      <c r="L83" s="2">
        <v>3</v>
      </c>
      <c r="M83" s="2" t="s">
        <v>75</v>
      </c>
      <c r="P83" s="2" t="s">
        <v>73</v>
      </c>
      <c r="Q83" s="2" t="s">
        <v>73</v>
      </c>
      <c r="R83" s="2">
        <v>6</v>
      </c>
      <c r="T83" s="2">
        <v>150</v>
      </c>
      <c r="U83" s="2" t="s">
        <v>73</v>
      </c>
      <c r="V83" s="2">
        <v>24</v>
      </c>
      <c r="X83" s="2" t="s">
        <v>98</v>
      </c>
      <c r="Y83" s="2">
        <v>10</v>
      </c>
      <c r="AA83" s="2" t="s">
        <v>116</v>
      </c>
      <c r="AB83" s="2">
        <v>800</v>
      </c>
      <c r="AD83" s="2" t="s">
        <v>189</v>
      </c>
      <c r="AE83" s="2" t="s">
        <v>87</v>
      </c>
      <c r="AF83" s="2" t="s">
        <v>586</v>
      </c>
    </row>
    <row r="84" spans="1:32" x14ac:dyDescent="0.2">
      <c r="A84" s="2">
        <v>83</v>
      </c>
      <c r="B84" s="2" t="s">
        <v>590</v>
      </c>
      <c r="C84" s="2" t="s">
        <v>591</v>
      </c>
      <c r="D84" s="2" t="s">
        <v>84</v>
      </c>
      <c r="E84" s="2" t="s">
        <v>85</v>
      </c>
      <c r="F84" s="2" t="s">
        <v>80</v>
      </c>
      <c r="G84" s="4">
        <v>5.0999999999999996</v>
      </c>
      <c r="H84" s="4">
        <v>0.5</v>
      </c>
      <c r="I84" s="2">
        <v>3</v>
      </c>
      <c r="J84" s="4">
        <v>6.9</v>
      </c>
      <c r="K84" s="4">
        <v>0.4</v>
      </c>
      <c r="L84" s="2">
        <v>3</v>
      </c>
      <c r="M84" s="2" t="s">
        <v>75</v>
      </c>
      <c r="N84" s="2" t="s">
        <v>34</v>
      </c>
      <c r="P84" s="2" t="s">
        <v>87</v>
      </c>
      <c r="Q84" s="2" t="s">
        <v>87</v>
      </c>
      <c r="R84" s="2">
        <v>0</v>
      </c>
      <c r="T84" s="2">
        <v>80</v>
      </c>
      <c r="U84" s="2" t="s">
        <v>73</v>
      </c>
      <c r="V84" s="2">
        <v>24</v>
      </c>
      <c r="X84" s="2" t="s">
        <v>98</v>
      </c>
      <c r="AA84" s="2" t="s">
        <v>116</v>
      </c>
      <c r="AD84" s="2" t="s">
        <v>142</v>
      </c>
      <c r="AE84" s="2" t="s">
        <v>73</v>
      </c>
      <c r="AF84" s="2" t="s">
        <v>592</v>
      </c>
    </row>
    <row r="85" spans="1:32" x14ac:dyDescent="0.2">
      <c r="A85" s="2">
        <v>84</v>
      </c>
      <c r="B85" s="2" t="s">
        <v>590</v>
      </c>
      <c r="C85" s="2" t="s">
        <v>591</v>
      </c>
      <c r="D85" s="2" t="s">
        <v>84</v>
      </c>
      <c r="E85" s="2" t="s">
        <v>85</v>
      </c>
      <c r="F85" s="2" t="s">
        <v>78</v>
      </c>
      <c r="G85" s="4">
        <v>92.4</v>
      </c>
      <c r="H85" s="4">
        <v>17.899999999999999</v>
      </c>
      <c r="I85" s="2">
        <v>3</v>
      </c>
      <c r="J85" s="4">
        <v>147</v>
      </c>
      <c r="K85" s="4">
        <v>6.4</v>
      </c>
      <c r="L85" s="2">
        <v>3</v>
      </c>
      <c r="M85" s="2" t="s">
        <v>75</v>
      </c>
      <c r="N85" s="2" t="s">
        <v>34</v>
      </c>
      <c r="P85" s="2" t="s">
        <v>87</v>
      </c>
      <c r="Q85" s="2" t="s">
        <v>87</v>
      </c>
      <c r="R85" s="2">
        <v>0</v>
      </c>
      <c r="T85" s="2">
        <v>80</v>
      </c>
      <c r="U85" s="2" t="s">
        <v>73</v>
      </c>
      <c r="V85" s="2">
        <v>24</v>
      </c>
      <c r="X85" s="2" t="s">
        <v>98</v>
      </c>
      <c r="AA85" s="2" t="s">
        <v>116</v>
      </c>
      <c r="AD85" s="2" t="s">
        <v>142</v>
      </c>
      <c r="AE85" s="2" t="s">
        <v>73</v>
      </c>
      <c r="AF85" s="2" t="s">
        <v>592</v>
      </c>
    </row>
    <row r="86" spans="1:32" x14ac:dyDescent="0.2">
      <c r="A86" s="2">
        <v>85</v>
      </c>
      <c r="B86" s="2" t="s">
        <v>590</v>
      </c>
      <c r="C86" s="2" t="s">
        <v>591</v>
      </c>
      <c r="D86" s="2" t="s">
        <v>84</v>
      </c>
      <c r="E86" s="2" t="s">
        <v>85</v>
      </c>
      <c r="F86" s="2" t="s">
        <v>80</v>
      </c>
      <c r="G86" s="4">
        <v>4.9000000000000004</v>
      </c>
      <c r="H86" s="4">
        <v>0.8</v>
      </c>
      <c r="I86" s="2">
        <v>3</v>
      </c>
      <c r="J86" s="4">
        <v>6.3</v>
      </c>
      <c r="K86" s="4">
        <v>0.2</v>
      </c>
      <c r="L86" s="2">
        <v>3</v>
      </c>
      <c r="M86" s="2" t="s">
        <v>75</v>
      </c>
      <c r="N86" s="2" t="s">
        <v>34</v>
      </c>
      <c r="P86" s="2" t="s">
        <v>87</v>
      </c>
      <c r="Q86" s="2" t="s">
        <v>87</v>
      </c>
      <c r="R86" s="2">
        <v>4</v>
      </c>
      <c r="T86" s="2">
        <v>80</v>
      </c>
      <c r="U86" s="2" t="s">
        <v>73</v>
      </c>
      <c r="V86" s="2">
        <v>24</v>
      </c>
      <c r="X86" s="2" t="s">
        <v>98</v>
      </c>
      <c r="AA86" s="2" t="s">
        <v>116</v>
      </c>
      <c r="AD86" s="2" t="s">
        <v>142</v>
      </c>
      <c r="AE86" s="2" t="s">
        <v>73</v>
      </c>
      <c r="AF86" s="2" t="s">
        <v>593</v>
      </c>
    </row>
    <row r="87" spans="1:32" x14ac:dyDescent="0.2">
      <c r="A87" s="2">
        <v>86</v>
      </c>
      <c r="B87" s="2" t="s">
        <v>590</v>
      </c>
      <c r="C87" s="2" t="s">
        <v>591</v>
      </c>
      <c r="D87" s="2" t="s">
        <v>84</v>
      </c>
      <c r="E87" s="2" t="s">
        <v>85</v>
      </c>
      <c r="F87" s="2" t="s">
        <v>78</v>
      </c>
      <c r="G87" s="4">
        <v>136.4</v>
      </c>
      <c r="H87" s="4">
        <v>4.3</v>
      </c>
      <c r="I87" s="2">
        <v>3</v>
      </c>
      <c r="J87" s="4">
        <v>241.6</v>
      </c>
      <c r="K87" s="4">
        <v>13.7</v>
      </c>
      <c r="L87" s="2">
        <v>3</v>
      </c>
      <c r="M87" s="2" t="s">
        <v>75</v>
      </c>
      <c r="N87" s="2" t="s">
        <v>34</v>
      </c>
      <c r="P87" s="2" t="s">
        <v>87</v>
      </c>
      <c r="Q87" s="2" t="s">
        <v>87</v>
      </c>
      <c r="R87" s="2">
        <v>4</v>
      </c>
      <c r="T87" s="2">
        <v>80</v>
      </c>
      <c r="U87" s="2" t="s">
        <v>73</v>
      </c>
      <c r="V87" s="2">
        <v>24</v>
      </c>
      <c r="X87" s="2" t="s">
        <v>98</v>
      </c>
      <c r="AA87" s="2" t="s">
        <v>116</v>
      </c>
      <c r="AD87" s="2" t="s">
        <v>142</v>
      </c>
      <c r="AE87" s="2" t="s">
        <v>73</v>
      </c>
      <c r="AF87" s="2" t="s">
        <v>593</v>
      </c>
    </row>
    <row r="88" spans="1:32" x14ac:dyDescent="0.2">
      <c r="A88" s="2">
        <v>87</v>
      </c>
      <c r="B88" s="2" t="s">
        <v>590</v>
      </c>
      <c r="C88" s="2" t="s">
        <v>591</v>
      </c>
      <c r="D88" s="2" t="s">
        <v>84</v>
      </c>
      <c r="E88" s="2" t="s">
        <v>85</v>
      </c>
      <c r="F88" s="2" t="s">
        <v>80</v>
      </c>
      <c r="G88" s="4">
        <v>6.5</v>
      </c>
      <c r="H88" s="4">
        <v>0.5</v>
      </c>
      <c r="I88" s="2">
        <v>3</v>
      </c>
      <c r="J88" s="4">
        <v>6.9</v>
      </c>
      <c r="K88" s="4">
        <v>0.2</v>
      </c>
      <c r="L88" s="2">
        <v>3</v>
      </c>
      <c r="M88" s="2" t="s">
        <v>75</v>
      </c>
      <c r="N88" s="2" t="s">
        <v>34</v>
      </c>
      <c r="P88" s="2" t="s">
        <v>73</v>
      </c>
      <c r="Q88" s="2" t="s">
        <v>73</v>
      </c>
      <c r="R88" s="2">
        <v>0</v>
      </c>
      <c r="T88" s="2">
        <v>80</v>
      </c>
      <c r="U88" s="2" t="s">
        <v>73</v>
      </c>
      <c r="V88" s="2">
        <v>24</v>
      </c>
      <c r="X88" s="2" t="s">
        <v>98</v>
      </c>
      <c r="AA88" s="2" t="s">
        <v>116</v>
      </c>
      <c r="AD88" s="2" t="s">
        <v>142</v>
      </c>
      <c r="AE88" s="2" t="s">
        <v>73</v>
      </c>
      <c r="AF88" s="2" t="s">
        <v>594</v>
      </c>
    </row>
    <row r="89" spans="1:32" x14ac:dyDescent="0.2">
      <c r="A89" s="2">
        <v>88</v>
      </c>
      <c r="B89" s="2" t="s">
        <v>590</v>
      </c>
      <c r="C89" s="2" t="s">
        <v>591</v>
      </c>
      <c r="D89" s="2" t="s">
        <v>84</v>
      </c>
      <c r="E89" s="2" t="s">
        <v>85</v>
      </c>
      <c r="F89" s="2" t="s">
        <v>78</v>
      </c>
      <c r="G89" s="4">
        <v>90.6</v>
      </c>
      <c r="H89" s="4">
        <v>6.5</v>
      </c>
      <c r="I89" s="2">
        <v>3</v>
      </c>
      <c r="J89" s="4">
        <v>80.099999999999994</v>
      </c>
      <c r="K89" s="4">
        <v>17.600000000000001</v>
      </c>
      <c r="L89" s="2">
        <v>3</v>
      </c>
      <c r="M89" s="2" t="s">
        <v>75</v>
      </c>
      <c r="N89" s="2" t="s">
        <v>34</v>
      </c>
      <c r="P89" s="2" t="s">
        <v>73</v>
      </c>
      <c r="Q89" s="2" t="s">
        <v>73</v>
      </c>
      <c r="R89" s="2">
        <v>0</v>
      </c>
      <c r="T89" s="2">
        <v>80</v>
      </c>
      <c r="U89" s="2" t="s">
        <v>73</v>
      </c>
      <c r="V89" s="2">
        <v>24</v>
      </c>
      <c r="X89" s="2" t="s">
        <v>98</v>
      </c>
      <c r="AA89" s="2" t="s">
        <v>116</v>
      </c>
      <c r="AD89" s="2" t="s">
        <v>142</v>
      </c>
      <c r="AE89" s="2" t="s">
        <v>73</v>
      </c>
      <c r="AF89" s="2" t="s">
        <v>594</v>
      </c>
    </row>
    <row r="90" spans="1:32" x14ac:dyDescent="0.2">
      <c r="A90" s="2">
        <v>89</v>
      </c>
      <c r="B90" s="2" t="s">
        <v>590</v>
      </c>
      <c r="C90" s="2" t="s">
        <v>591</v>
      </c>
      <c r="D90" s="2" t="s">
        <v>84</v>
      </c>
      <c r="E90" s="2" t="s">
        <v>85</v>
      </c>
      <c r="F90" s="2" t="s">
        <v>80</v>
      </c>
      <c r="G90" s="4">
        <v>6.6</v>
      </c>
      <c r="H90" s="4">
        <v>0.3</v>
      </c>
      <c r="I90" s="2">
        <v>3</v>
      </c>
      <c r="J90" s="4">
        <v>6.8</v>
      </c>
      <c r="K90" s="4">
        <v>0.1</v>
      </c>
      <c r="L90" s="2">
        <v>3</v>
      </c>
      <c r="M90" s="2" t="s">
        <v>75</v>
      </c>
      <c r="N90" s="2" t="s">
        <v>34</v>
      </c>
      <c r="P90" s="2" t="s">
        <v>73</v>
      </c>
      <c r="Q90" s="2" t="s">
        <v>73</v>
      </c>
      <c r="R90" s="2">
        <v>4</v>
      </c>
      <c r="T90" s="2">
        <v>80</v>
      </c>
      <c r="U90" s="2" t="s">
        <v>73</v>
      </c>
      <c r="V90" s="2">
        <v>24</v>
      </c>
      <c r="X90" s="2" t="s">
        <v>98</v>
      </c>
      <c r="AA90" s="2" t="s">
        <v>116</v>
      </c>
      <c r="AD90" s="2" t="s">
        <v>142</v>
      </c>
      <c r="AE90" s="2" t="s">
        <v>73</v>
      </c>
      <c r="AF90" s="2" t="s">
        <v>595</v>
      </c>
    </row>
    <row r="91" spans="1:32" x14ac:dyDescent="0.2">
      <c r="A91" s="2">
        <v>90</v>
      </c>
      <c r="B91" s="2" t="s">
        <v>590</v>
      </c>
      <c r="C91" s="2" t="s">
        <v>591</v>
      </c>
      <c r="D91" s="2" t="s">
        <v>84</v>
      </c>
      <c r="E91" s="2" t="s">
        <v>85</v>
      </c>
      <c r="F91" s="2" t="s">
        <v>78</v>
      </c>
      <c r="G91" s="4">
        <v>102.1</v>
      </c>
      <c r="H91" s="4">
        <v>4.5</v>
      </c>
      <c r="I91" s="2">
        <v>3</v>
      </c>
      <c r="J91" s="4">
        <v>80.900000000000006</v>
      </c>
      <c r="K91" s="4">
        <v>2.5</v>
      </c>
      <c r="L91" s="2">
        <v>3</v>
      </c>
      <c r="M91" s="2" t="s">
        <v>75</v>
      </c>
      <c r="N91" s="2" t="s">
        <v>34</v>
      </c>
      <c r="P91" s="2" t="s">
        <v>73</v>
      </c>
      <c r="Q91" s="2" t="s">
        <v>73</v>
      </c>
      <c r="R91" s="2">
        <v>4</v>
      </c>
      <c r="T91" s="2">
        <v>80</v>
      </c>
      <c r="U91" s="2" t="s">
        <v>73</v>
      </c>
      <c r="V91" s="2">
        <v>24</v>
      </c>
      <c r="X91" s="2" t="s">
        <v>98</v>
      </c>
      <c r="AA91" s="2" t="s">
        <v>116</v>
      </c>
      <c r="AD91" s="2" t="s">
        <v>142</v>
      </c>
      <c r="AE91" s="2" t="s">
        <v>73</v>
      </c>
      <c r="AF91" s="2" t="s">
        <v>595</v>
      </c>
    </row>
    <row r="92" spans="1:32" x14ac:dyDescent="0.2">
      <c r="A92" s="2">
        <v>91</v>
      </c>
      <c r="B92" s="2" t="s">
        <v>590</v>
      </c>
      <c r="C92" s="2" t="s">
        <v>596</v>
      </c>
      <c r="D92" s="2" t="s">
        <v>84</v>
      </c>
      <c r="E92" s="2" t="s">
        <v>85</v>
      </c>
      <c r="F92" s="2" t="s">
        <v>80</v>
      </c>
      <c r="G92" s="4">
        <v>6.5</v>
      </c>
      <c r="H92" s="4">
        <v>0.5</v>
      </c>
      <c r="I92" s="2">
        <v>3</v>
      </c>
      <c r="J92" s="4">
        <v>7.9</v>
      </c>
      <c r="K92" s="4">
        <v>0.6</v>
      </c>
      <c r="L92" s="2">
        <v>3</v>
      </c>
      <c r="M92" s="2" t="s">
        <v>75</v>
      </c>
      <c r="N92" s="2" t="s">
        <v>34</v>
      </c>
      <c r="P92" s="2" t="s">
        <v>87</v>
      </c>
      <c r="Q92" s="2" t="s">
        <v>87</v>
      </c>
      <c r="R92" s="2">
        <v>0</v>
      </c>
      <c r="T92" s="2">
        <v>80</v>
      </c>
      <c r="U92" s="2" t="s">
        <v>73</v>
      </c>
      <c r="V92" s="2">
        <v>24</v>
      </c>
      <c r="X92" s="2" t="s">
        <v>98</v>
      </c>
      <c r="AA92" s="2" t="s">
        <v>116</v>
      </c>
      <c r="AD92" s="2" t="s">
        <v>142</v>
      </c>
      <c r="AE92" s="2" t="s">
        <v>73</v>
      </c>
      <c r="AF92" s="2" t="s">
        <v>592</v>
      </c>
    </row>
    <row r="93" spans="1:32" x14ac:dyDescent="0.2">
      <c r="A93" s="2">
        <v>92</v>
      </c>
      <c r="B93" s="2" t="s">
        <v>590</v>
      </c>
      <c r="C93" s="2" t="s">
        <v>596</v>
      </c>
      <c r="D93" s="2" t="s">
        <v>84</v>
      </c>
      <c r="E93" s="2" t="s">
        <v>85</v>
      </c>
      <c r="F93" s="2" t="s">
        <v>78</v>
      </c>
      <c r="G93" s="4">
        <v>151.5</v>
      </c>
      <c r="H93" s="4">
        <v>43.9</v>
      </c>
      <c r="I93" s="2">
        <v>3</v>
      </c>
      <c r="J93" s="4">
        <v>147.5</v>
      </c>
      <c r="K93" s="4">
        <v>6</v>
      </c>
      <c r="L93" s="2">
        <v>3</v>
      </c>
      <c r="M93" s="2" t="s">
        <v>75</v>
      </c>
      <c r="N93" s="2" t="s">
        <v>34</v>
      </c>
      <c r="P93" s="2" t="s">
        <v>87</v>
      </c>
      <c r="Q93" s="2" t="s">
        <v>87</v>
      </c>
      <c r="R93" s="2">
        <v>0</v>
      </c>
      <c r="T93" s="2">
        <v>80</v>
      </c>
      <c r="U93" s="2" t="s">
        <v>73</v>
      </c>
      <c r="V93" s="2">
        <v>24</v>
      </c>
      <c r="X93" s="2" t="s">
        <v>98</v>
      </c>
      <c r="AA93" s="2" t="s">
        <v>116</v>
      </c>
      <c r="AD93" s="2" t="s">
        <v>142</v>
      </c>
      <c r="AE93" s="2" t="s">
        <v>73</v>
      </c>
      <c r="AF93" s="2" t="s">
        <v>592</v>
      </c>
    </row>
    <row r="94" spans="1:32" x14ac:dyDescent="0.2">
      <c r="A94" s="2">
        <v>93</v>
      </c>
      <c r="B94" s="2" t="s">
        <v>590</v>
      </c>
      <c r="C94" s="2" t="s">
        <v>596</v>
      </c>
      <c r="D94" s="2" t="s">
        <v>84</v>
      </c>
      <c r="E94" s="2" t="s">
        <v>85</v>
      </c>
      <c r="F94" s="2" t="s">
        <v>80</v>
      </c>
      <c r="G94" s="4">
        <v>6.6</v>
      </c>
      <c r="H94" s="4">
        <v>0</v>
      </c>
      <c r="I94" s="2">
        <v>3</v>
      </c>
      <c r="J94" s="4">
        <v>7.3</v>
      </c>
      <c r="K94" s="4">
        <v>0.3</v>
      </c>
      <c r="L94" s="2">
        <v>3</v>
      </c>
      <c r="M94" s="2" t="s">
        <v>75</v>
      </c>
      <c r="N94" s="2" t="s">
        <v>34</v>
      </c>
      <c r="P94" s="2" t="s">
        <v>87</v>
      </c>
      <c r="Q94" s="2" t="s">
        <v>87</v>
      </c>
      <c r="R94" s="2">
        <v>4</v>
      </c>
      <c r="T94" s="2">
        <v>80</v>
      </c>
      <c r="U94" s="2" t="s">
        <v>73</v>
      </c>
      <c r="V94" s="2">
        <v>24</v>
      </c>
      <c r="X94" s="2" t="s">
        <v>98</v>
      </c>
      <c r="AA94" s="2" t="s">
        <v>116</v>
      </c>
      <c r="AD94" s="2" t="s">
        <v>142</v>
      </c>
      <c r="AE94" s="2" t="s">
        <v>73</v>
      </c>
      <c r="AF94" s="2" t="s">
        <v>593</v>
      </c>
    </row>
    <row r="95" spans="1:32" x14ac:dyDescent="0.2">
      <c r="A95" s="2">
        <v>94</v>
      </c>
      <c r="B95" s="2" t="s">
        <v>590</v>
      </c>
      <c r="C95" s="2" t="s">
        <v>596</v>
      </c>
      <c r="D95" s="2" t="s">
        <v>84</v>
      </c>
      <c r="E95" s="2" t="s">
        <v>85</v>
      </c>
      <c r="F95" s="2" t="s">
        <v>78</v>
      </c>
      <c r="G95" s="4">
        <v>128.4</v>
      </c>
      <c r="H95" s="4">
        <v>3.5</v>
      </c>
      <c r="I95" s="2">
        <v>3</v>
      </c>
      <c r="J95" s="4">
        <v>118.3</v>
      </c>
      <c r="K95" s="4">
        <v>6.8</v>
      </c>
      <c r="L95" s="2">
        <v>3</v>
      </c>
      <c r="M95" s="2" t="s">
        <v>75</v>
      </c>
      <c r="N95" s="2" t="s">
        <v>34</v>
      </c>
      <c r="P95" s="2" t="s">
        <v>87</v>
      </c>
      <c r="Q95" s="2" t="s">
        <v>87</v>
      </c>
      <c r="R95" s="2">
        <v>4</v>
      </c>
      <c r="T95" s="2">
        <v>80</v>
      </c>
      <c r="U95" s="2" t="s">
        <v>73</v>
      </c>
      <c r="V95" s="2">
        <v>24</v>
      </c>
      <c r="X95" s="2" t="s">
        <v>98</v>
      </c>
      <c r="AA95" s="2" t="s">
        <v>116</v>
      </c>
      <c r="AD95" s="2" t="s">
        <v>142</v>
      </c>
      <c r="AE95" s="2" t="s">
        <v>73</v>
      </c>
      <c r="AF95" s="2" t="s">
        <v>593</v>
      </c>
    </row>
    <row r="96" spans="1:32" x14ac:dyDescent="0.2">
      <c r="A96" s="2">
        <v>95</v>
      </c>
      <c r="B96" s="2" t="s">
        <v>590</v>
      </c>
      <c r="C96" s="2" t="s">
        <v>587</v>
      </c>
      <c r="D96" s="2" t="s">
        <v>84</v>
      </c>
      <c r="E96" s="2" t="s">
        <v>85</v>
      </c>
      <c r="F96" s="2" t="s">
        <v>80</v>
      </c>
      <c r="G96" s="4">
        <v>6.3</v>
      </c>
      <c r="H96" s="4">
        <v>0.3</v>
      </c>
      <c r="I96" s="2">
        <v>3</v>
      </c>
      <c r="J96" s="4">
        <v>7</v>
      </c>
      <c r="K96" s="4">
        <v>0</v>
      </c>
      <c r="L96" s="2">
        <v>3</v>
      </c>
      <c r="M96" s="2" t="s">
        <v>75</v>
      </c>
      <c r="N96" s="2" t="s">
        <v>34</v>
      </c>
      <c r="P96" s="2" t="s">
        <v>73</v>
      </c>
      <c r="Q96" s="2" t="s">
        <v>73</v>
      </c>
      <c r="R96" s="2">
        <v>0</v>
      </c>
      <c r="T96" s="2">
        <v>80</v>
      </c>
      <c r="U96" s="2" t="s">
        <v>73</v>
      </c>
      <c r="V96" s="2">
        <v>24</v>
      </c>
      <c r="X96" s="2" t="s">
        <v>98</v>
      </c>
      <c r="AA96" s="2" t="s">
        <v>116</v>
      </c>
      <c r="AD96" s="2" t="s">
        <v>142</v>
      </c>
      <c r="AE96" s="2" t="s">
        <v>73</v>
      </c>
      <c r="AF96" s="2" t="s">
        <v>594</v>
      </c>
    </row>
    <row r="97" spans="1:32" x14ac:dyDescent="0.2">
      <c r="A97" s="2">
        <v>96</v>
      </c>
      <c r="B97" s="2" t="s">
        <v>590</v>
      </c>
      <c r="C97" s="2" t="s">
        <v>587</v>
      </c>
      <c r="D97" s="2" t="s">
        <v>84</v>
      </c>
      <c r="E97" s="2" t="s">
        <v>85</v>
      </c>
      <c r="F97" s="2" t="s">
        <v>78</v>
      </c>
      <c r="G97" s="4">
        <v>75.900000000000006</v>
      </c>
      <c r="H97" s="4">
        <v>2.7</v>
      </c>
      <c r="I97" s="2">
        <v>3</v>
      </c>
      <c r="J97" s="4">
        <v>85</v>
      </c>
      <c r="K97" s="4">
        <v>6.7</v>
      </c>
      <c r="L97" s="2">
        <v>3</v>
      </c>
      <c r="M97" s="2" t="s">
        <v>75</v>
      </c>
      <c r="N97" s="2" t="s">
        <v>34</v>
      </c>
      <c r="P97" s="2" t="s">
        <v>73</v>
      </c>
      <c r="Q97" s="2" t="s">
        <v>73</v>
      </c>
      <c r="R97" s="2">
        <v>0</v>
      </c>
      <c r="T97" s="2">
        <v>80</v>
      </c>
      <c r="U97" s="2" t="s">
        <v>73</v>
      </c>
      <c r="V97" s="2">
        <v>24</v>
      </c>
      <c r="X97" s="2" t="s">
        <v>98</v>
      </c>
      <c r="AA97" s="2" t="s">
        <v>116</v>
      </c>
      <c r="AD97" s="2" t="s">
        <v>142</v>
      </c>
      <c r="AE97" s="2" t="s">
        <v>73</v>
      </c>
      <c r="AF97" s="2" t="s">
        <v>594</v>
      </c>
    </row>
    <row r="98" spans="1:32" x14ac:dyDescent="0.2">
      <c r="A98" s="2">
        <v>97</v>
      </c>
      <c r="B98" s="2" t="s">
        <v>590</v>
      </c>
      <c r="C98" s="2" t="s">
        <v>587</v>
      </c>
      <c r="D98" s="2" t="s">
        <v>84</v>
      </c>
      <c r="E98" s="2" t="s">
        <v>85</v>
      </c>
      <c r="F98" s="2" t="s">
        <v>80</v>
      </c>
      <c r="G98" s="4">
        <v>7</v>
      </c>
      <c r="H98" s="4">
        <v>0.4</v>
      </c>
      <c r="I98" s="2">
        <v>3</v>
      </c>
      <c r="J98" s="4">
        <v>6.9</v>
      </c>
      <c r="K98" s="4">
        <v>0.1</v>
      </c>
      <c r="L98" s="2">
        <v>3</v>
      </c>
      <c r="M98" s="2" t="s">
        <v>75</v>
      </c>
      <c r="N98" s="2" t="s">
        <v>34</v>
      </c>
      <c r="P98" s="2" t="s">
        <v>73</v>
      </c>
      <c r="Q98" s="2" t="s">
        <v>73</v>
      </c>
      <c r="R98" s="2">
        <v>4</v>
      </c>
      <c r="T98" s="2">
        <v>80</v>
      </c>
      <c r="U98" s="2" t="s">
        <v>73</v>
      </c>
      <c r="V98" s="2">
        <v>24</v>
      </c>
      <c r="X98" s="2" t="s">
        <v>98</v>
      </c>
      <c r="AA98" s="2" t="s">
        <v>116</v>
      </c>
      <c r="AD98" s="2" t="s">
        <v>142</v>
      </c>
      <c r="AE98" s="2" t="s">
        <v>73</v>
      </c>
      <c r="AF98" s="2" t="s">
        <v>595</v>
      </c>
    </row>
    <row r="99" spans="1:32" x14ac:dyDescent="0.2">
      <c r="A99" s="2">
        <v>98</v>
      </c>
      <c r="B99" s="2" t="s">
        <v>590</v>
      </c>
      <c r="C99" s="2" t="s">
        <v>587</v>
      </c>
      <c r="D99" s="2" t="s">
        <v>84</v>
      </c>
      <c r="E99" s="2" t="s">
        <v>85</v>
      </c>
      <c r="F99" s="2" t="s">
        <v>78</v>
      </c>
      <c r="G99" s="4">
        <v>63.2</v>
      </c>
      <c r="H99" s="4">
        <v>6.5</v>
      </c>
      <c r="I99" s="2">
        <v>3</v>
      </c>
      <c r="J99" s="4">
        <v>82</v>
      </c>
      <c r="K99" s="4">
        <v>3.5</v>
      </c>
      <c r="L99" s="2">
        <v>3</v>
      </c>
      <c r="M99" s="2" t="s">
        <v>75</v>
      </c>
      <c r="N99" s="2" t="s">
        <v>34</v>
      </c>
      <c r="P99" s="2" t="s">
        <v>73</v>
      </c>
      <c r="Q99" s="2" t="s">
        <v>73</v>
      </c>
      <c r="R99" s="2">
        <v>4</v>
      </c>
      <c r="T99" s="2">
        <v>80</v>
      </c>
      <c r="U99" s="2" t="s">
        <v>73</v>
      </c>
      <c r="V99" s="2">
        <v>24</v>
      </c>
      <c r="X99" s="2" t="s">
        <v>98</v>
      </c>
      <c r="AA99" s="2" t="s">
        <v>116</v>
      </c>
      <c r="AD99" s="2" t="s">
        <v>142</v>
      </c>
      <c r="AE99" s="2" t="s">
        <v>73</v>
      </c>
      <c r="AF99" s="2" t="s">
        <v>595</v>
      </c>
    </row>
    <row r="100" spans="1:32" x14ac:dyDescent="0.2">
      <c r="A100" s="2">
        <v>99</v>
      </c>
      <c r="B100" s="2" t="s">
        <v>590</v>
      </c>
      <c r="C100" s="2" t="s">
        <v>597</v>
      </c>
      <c r="D100" s="2" t="s">
        <v>121</v>
      </c>
      <c r="E100" s="2" t="s">
        <v>85</v>
      </c>
      <c r="F100" s="2" t="s">
        <v>80</v>
      </c>
      <c r="G100" s="4">
        <v>6.5</v>
      </c>
      <c r="H100" s="4">
        <v>0.4</v>
      </c>
      <c r="I100" s="2">
        <v>3</v>
      </c>
      <c r="J100" s="4">
        <v>7.2</v>
      </c>
      <c r="K100" s="4">
        <v>0.8</v>
      </c>
      <c r="L100" s="2">
        <v>3</v>
      </c>
      <c r="M100" s="2" t="s">
        <v>75</v>
      </c>
      <c r="N100" s="2" t="s">
        <v>34</v>
      </c>
      <c r="P100" s="2" t="s">
        <v>73</v>
      </c>
      <c r="Q100" s="2" t="s">
        <v>73</v>
      </c>
      <c r="R100" s="2">
        <v>0</v>
      </c>
      <c r="T100" s="2">
        <v>80</v>
      </c>
      <c r="U100" s="2" t="s">
        <v>73</v>
      </c>
      <c r="V100" s="2">
        <v>24</v>
      </c>
      <c r="X100" s="2" t="s">
        <v>98</v>
      </c>
      <c r="AA100" s="2" t="s">
        <v>116</v>
      </c>
      <c r="AD100" s="2" t="s">
        <v>142</v>
      </c>
      <c r="AE100" s="2" t="s">
        <v>73</v>
      </c>
      <c r="AF100" s="2" t="s">
        <v>594</v>
      </c>
    </row>
    <row r="101" spans="1:32" x14ac:dyDescent="0.2">
      <c r="A101" s="2">
        <v>100</v>
      </c>
      <c r="B101" s="2" t="s">
        <v>590</v>
      </c>
      <c r="C101" s="2" t="s">
        <v>597</v>
      </c>
      <c r="D101" s="2" t="s">
        <v>121</v>
      </c>
      <c r="E101" s="2" t="s">
        <v>85</v>
      </c>
      <c r="F101" s="2" t="s">
        <v>78</v>
      </c>
      <c r="G101" s="4">
        <v>134.5</v>
      </c>
      <c r="H101" s="4">
        <v>27.5</v>
      </c>
      <c r="I101" s="2">
        <v>3</v>
      </c>
      <c r="J101" s="4">
        <v>100.4</v>
      </c>
      <c r="K101" s="4">
        <v>5.5</v>
      </c>
      <c r="L101" s="2">
        <v>3</v>
      </c>
      <c r="M101" s="2" t="s">
        <v>75</v>
      </c>
      <c r="N101" s="2" t="s">
        <v>34</v>
      </c>
      <c r="P101" s="2" t="s">
        <v>73</v>
      </c>
      <c r="Q101" s="2" t="s">
        <v>73</v>
      </c>
      <c r="R101" s="2">
        <v>0</v>
      </c>
      <c r="T101" s="2">
        <v>80</v>
      </c>
      <c r="U101" s="2" t="s">
        <v>73</v>
      </c>
      <c r="V101" s="2">
        <v>24</v>
      </c>
      <c r="X101" s="2" t="s">
        <v>98</v>
      </c>
      <c r="AA101" s="2" t="s">
        <v>116</v>
      </c>
      <c r="AD101" s="2" t="s">
        <v>142</v>
      </c>
      <c r="AE101" s="2" t="s">
        <v>73</v>
      </c>
      <c r="AF101" s="2" t="s">
        <v>594</v>
      </c>
    </row>
    <row r="102" spans="1:32" x14ac:dyDescent="0.2">
      <c r="A102" s="2">
        <v>101</v>
      </c>
      <c r="B102" s="2" t="s">
        <v>590</v>
      </c>
      <c r="C102" s="2" t="s">
        <v>597</v>
      </c>
      <c r="D102" s="2" t="s">
        <v>121</v>
      </c>
      <c r="E102" s="2" t="s">
        <v>85</v>
      </c>
      <c r="F102" s="2" t="s">
        <v>80</v>
      </c>
      <c r="G102" s="4">
        <v>6.6</v>
      </c>
      <c r="H102" s="4">
        <v>0.5</v>
      </c>
      <c r="I102" s="2">
        <v>3</v>
      </c>
      <c r="J102" s="4">
        <v>6.6</v>
      </c>
      <c r="K102" s="4">
        <v>0.5</v>
      </c>
      <c r="L102" s="2">
        <v>3</v>
      </c>
      <c r="M102" s="2" t="s">
        <v>75</v>
      </c>
      <c r="N102" s="2" t="s">
        <v>34</v>
      </c>
      <c r="P102" s="2" t="s">
        <v>73</v>
      </c>
      <c r="Q102" s="2" t="s">
        <v>73</v>
      </c>
      <c r="R102" s="2">
        <v>4</v>
      </c>
      <c r="T102" s="2">
        <v>80</v>
      </c>
      <c r="U102" s="2" t="s">
        <v>73</v>
      </c>
      <c r="V102" s="2">
        <v>24</v>
      </c>
      <c r="X102" s="2" t="s">
        <v>98</v>
      </c>
      <c r="AA102" s="2" t="s">
        <v>116</v>
      </c>
      <c r="AD102" s="2" t="s">
        <v>142</v>
      </c>
      <c r="AE102" s="2" t="s">
        <v>73</v>
      </c>
      <c r="AF102" s="2" t="s">
        <v>595</v>
      </c>
    </row>
    <row r="103" spans="1:32" x14ac:dyDescent="0.2">
      <c r="A103" s="2">
        <v>102</v>
      </c>
      <c r="B103" s="2" t="s">
        <v>590</v>
      </c>
      <c r="C103" s="2" t="s">
        <v>597</v>
      </c>
      <c r="D103" s="2" t="s">
        <v>121</v>
      </c>
      <c r="E103" s="2" t="s">
        <v>85</v>
      </c>
      <c r="F103" s="2" t="s">
        <v>78</v>
      </c>
      <c r="G103" s="4">
        <v>187.8</v>
      </c>
      <c r="H103" s="4">
        <v>37.700000000000003</v>
      </c>
      <c r="I103" s="2">
        <v>3</v>
      </c>
      <c r="J103" s="4">
        <v>214.9</v>
      </c>
      <c r="K103" s="4">
        <v>20.399999999999999</v>
      </c>
      <c r="L103" s="2">
        <v>3</v>
      </c>
      <c r="M103" s="2" t="s">
        <v>75</v>
      </c>
      <c r="N103" s="2" t="s">
        <v>34</v>
      </c>
      <c r="P103" s="2" t="s">
        <v>73</v>
      </c>
      <c r="Q103" s="2" t="s">
        <v>73</v>
      </c>
      <c r="R103" s="2">
        <v>4</v>
      </c>
      <c r="T103" s="2">
        <v>80</v>
      </c>
      <c r="U103" s="2" t="s">
        <v>73</v>
      </c>
      <c r="V103" s="2">
        <v>24</v>
      </c>
      <c r="X103" s="2" t="s">
        <v>98</v>
      </c>
      <c r="AA103" s="2" t="s">
        <v>116</v>
      </c>
      <c r="AD103" s="2" t="s">
        <v>142</v>
      </c>
      <c r="AE103" s="2" t="s">
        <v>73</v>
      </c>
      <c r="AF103" s="2" t="s">
        <v>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DBEE-B06F-FE4F-BAE1-C302B39309C8}">
  <sheetPr codeName="Sheet5"/>
  <dimension ref="A1:AG130"/>
  <sheetViews>
    <sheetView topLeftCell="A103" workbookViewId="0">
      <selection activeCell="L31" sqref="L31"/>
    </sheetView>
  </sheetViews>
  <sheetFormatPr baseColWidth="10" defaultRowHeight="14" x14ac:dyDescent="0.2"/>
  <cols>
    <col min="1" max="1" width="10.83203125" style="2"/>
    <col min="2" max="2" width="11" style="2" bestFit="1" customWidth="1"/>
    <col min="3" max="3" width="26.1640625" style="2" bestFit="1" customWidth="1"/>
    <col min="4" max="4" width="11.33203125" style="2" bestFit="1" customWidth="1"/>
    <col min="5" max="5" width="3.6640625" style="2" bestFit="1" customWidth="1"/>
    <col min="6" max="6" width="6.6640625" style="2" bestFit="1" customWidth="1"/>
    <col min="7" max="7" width="5" style="2" bestFit="1" customWidth="1"/>
    <col min="8" max="9" width="5.5" style="4" bestFit="1" customWidth="1"/>
    <col min="10" max="10" width="5" style="4" bestFit="1" customWidth="1"/>
    <col min="11" max="11" width="2.83203125" style="2" bestFit="1" customWidth="1"/>
    <col min="12" max="12" width="5.5" style="4" bestFit="1" customWidth="1"/>
    <col min="13" max="13" width="5" style="4" bestFit="1" customWidth="1"/>
    <col min="14" max="14" width="2.6640625" style="2" bestFit="1" customWidth="1"/>
    <col min="15" max="15" width="5.1640625" style="2" bestFit="1" customWidth="1"/>
    <col min="16" max="16" width="5.1640625" style="2" customWidth="1"/>
    <col min="17" max="17" width="5" style="2" bestFit="1" customWidth="1"/>
    <col min="18" max="18" width="4.83203125" style="2" bestFit="1" customWidth="1"/>
    <col min="19" max="19" width="5" style="2" bestFit="1" customWidth="1"/>
    <col min="20" max="20" width="5.6640625" style="2" bestFit="1" customWidth="1"/>
    <col min="21" max="21" width="5" style="2" bestFit="1" customWidth="1"/>
    <col min="22" max="22" width="5.33203125" style="2" bestFit="1" customWidth="1"/>
    <col min="23" max="23" width="4" style="2" bestFit="1" customWidth="1"/>
    <col min="24" max="24" width="5.33203125" style="2" bestFit="1" customWidth="1"/>
    <col min="25" max="25" width="6.83203125" style="2" bestFit="1" customWidth="1"/>
    <col min="26" max="26" width="9.1640625" style="2" bestFit="1" customWidth="1"/>
    <col min="27" max="27" width="5.5" style="2" bestFit="1" customWidth="1"/>
    <col min="28" max="28" width="5.1640625" style="2" bestFit="1" customWidth="1"/>
    <col min="29" max="29" width="7.5" style="2" bestFit="1" customWidth="1"/>
    <col min="30" max="30" width="5" style="2" bestFit="1" customWidth="1"/>
    <col min="31" max="31" width="6.6640625" style="2" bestFit="1" customWidth="1"/>
    <col min="32" max="32" width="8" style="2" bestFit="1" customWidth="1"/>
    <col min="33" max="33" width="44.83203125" style="2" bestFit="1" customWidth="1"/>
    <col min="34" max="16384" width="10.83203125" style="2"/>
  </cols>
  <sheetData>
    <row r="1" spans="1:33" x14ac:dyDescent="0.2">
      <c r="A1" s="2" t="s">
        <v>606</v>
      </c>
      <c r="B1" s="2" t="s">
        <v>10</v>
      </c>
      <c r="C1" s="2" t="s">
        <v>12</v>
      </c>
      <c r="D1" s="2" t="s">
        <v>15</v>
      </c>
      <c r="E1" s="2" t="s">
        <v>54</v>
      </c>
      <c r="F1" s="2" t="s">
        <v>77</v>
      </c>
      <c r="G1" s="2" t="s">
        <v>17</v>
      </c>
      <c r="H1" s="4" t="s">
        <v>19</v>
      </c>
      <c r="I1" s="4" t="s">
        <v>21</v>
      </c>
      <c r="J1" s="4" t="s">
        <v>23</v>
      </c>
      <c r="K1" s="2" t="s">
        <v>25</v>
      </c>
      <c r="L1" s="4" t="s">
        <v>27</v>
      </c>
      <c r="M1" s="4" t="s">
        <v>28</v>
      </c>
      <c r="N1" s="2" t="s">
        <v>29</v>
      </c>
      <c r="O1" s="2" t="s">
        <v>8</v>
      </c>
      <c r="P1" s="2" t="s">
        <v>604</v>
      </c>
      <c r="Q1" s="2" t="s">
        <v>48</v>
      </c>
      <c r="R1" s="2" t="s">
        <v>62</v>
      </c>
      <c r="S1" s="2" t="s">
        <v>63</v>
      </c>
      <c r="T1" s="2" t="s">
        <v>64</v>
      </c>
      <c r="U1" s="2" t="s">
        <v>608</v>
      </c>
      <c r="V1" s="2" t="s">
        <v>41</v>
      </c>
      <c r="W1" s="2" t="s">
        <v>36</v>
      </c>
      <c r="X1" s="2" t="s">
        <v>34</v>
      </c>
      <c r="Y1" s="2" t="s">
        <v>57</v>
      </c>
      <c r="Z1" s="2" t="s">
        <v>58</v>
      </c>
      <c r="AA1" s="2" t="s">
        <v>96</v>
      </c>
      <c r="AB1" s="2" t="s">
        <v>115</v>
      </c>
      <c r="AC1" s="2" t="s">
        <v>44</v>
      </c>
      <c r="AD1" s="2" t="s">
        <v>46</v>
      </c>
      <c r="AE1" s="2" t="s">
        <v>50</v>
      </c>
      <c r="AF1" s="2" t="s">
        <v>52</v>
      </c>
      <c r="AG1" s="2" t="s">
        <v>59</v>
      </c>
    </row>
    <row r="2" spans="1:33" x14ac:dyDescent="0.2">
      <c r="A2" s="2">
        <v>2</v>
      </c>
      <c r="B2" s="2" t="s">
        <v>132</v>
      </c>
      <c r="C2" s="2" t="s">
        <v>238</v>
      </c>
      <c r="D2" s="2" t="s">
        <v>84</v>
      </c>
      <c r="E2" s="2" t="s">
        <v>85</v>
      </c>
      <c r="F2" s="2" t="s">
        <v>80</v>
      </c>
      <c r="G2" s="2">
        <v>50</v>
      </c>
      <c r="H2" s="4">
        <v>200</v>
      </c>
      <c r="I2" s="4">
        <v>9.9849999999999994</v>
      </c>
      <c r="J2" s="4">
        <f>10.124-I2</f>
        <v>0.13900000000000112</v>
      </c>
      <c r="K2" s="2">
        <v>3</v>
      </c>
      <c r="L2" s="4">
        <v>17.120999999999999</v>
      </c>
      <c r="M2" s="4">
        <f>17.655-L2</f>
        <v>0.53400000000000247</v>
      </c>
      <c r="N2" s="2">
        <v>3</v>
      </c>
      <c r="O2" s="2" t="s">
        <v>95</v>
      </c>
      <c r="P2" s="2" t="s">
        <v>34</v>
      </c>
      <c r="R2" s="2" t="s">
        <v>73</v>
      </c>
      <c r="S2" s="2" t="s">
        <v>87</v>
      </c>
      <c r="T2" s="2" t="s">
        <v>73</v>
      </c>
      <c r="U2" s="2">
        <v>25</v>
      </c>
      <c r="W2" s="2">
        <v>14</v>
      </c>
      <c r="Y2" s="2" t="s">
        <v>89</v>
      </c>
      <c r="Z2" s="2">
        <v>12</v>
      </c>
      <c r="AA2" s="2" t="s">
        <v>73</v>
      </c>
      <c r="AB2" s="2" t="s">
        <v>116</v>
      </c>
      <c r="AE2" s="2" t="s">
        <v>133</v>
      </c>
      <c r="AF2" s="2" t="s">
        <v>87</v>
      </c>
      <c r="AG2" s="2" t="s">
        <v>134</v>
      </c>
    </row>
    <row r="3" spans="1:33" x14ac:dyDescent="0.2">
      <c r="A3" s="2">
        <v>4</v>
      </c>
      <c r="B3" s="2" t="s">
        <v>132</v>
      </c>
      <c r="C3" s="2" t="s">
        <v>239</v>
      </c>
      <c r="D3" s="2" t="s">
        <v>135</v>
      </c>
      <c r="E3" s="2" t="s">
        <v>106</v>
      </c>
      <c r="F3" s="2" t="s">
        <v>80</v>
      </c>
      <c r="G3" s="2">
        <v>50</v>
      </c>
      <c r="H3" s="4">
        <v>200</v>
      </c>
      <c r="I3" s="4">
        <v>10.608000000000001</v>
      </c>
      <c r="J3" s="4">
        <f>10.905-I3</f>
        <v>0.29699999999999882</v>
      </c>
      <c r="K3" s="2">
        <v>3</v>
      </c>
      <c r="L3" s="4">
        <v>13.505000000000001</v>
      </c>
      <c r="M3" s="4">
        <f>13.811-L3</f>
        <v>0.30599999999999916</v>
      </c>
      <c r="N3" s="2">
        <v>3</v>
      </c>
      <c r="O3" s="2" t="s">
        <v>95</v>
      </c>
      <c r="P3" s="2" t="s">
        <v>34</v>
      </c>
      <c r="R3" s="2" t="s">
        <v>73</v>
      </c>
      <c r="S3" s="2" t="s">
        <v>87</v>
      </c>
      <c r="T3" s="2" t="s">
        <v>73</v>
      </c>
      <c r="U3" s="2">
        <v>25</v>
      </c>
      <c r="W3" s="2">
        <v>14</v>
      </c>
      <c r="Y3" s="2" t="s">
        <v>89</v>
      </c>
      <c r="Z3" s="2">
        <v>12</v>
      </c>
      <c r="AA3" s="2" t="s">
        <v>73</v>
      </c>
      <c r="AB3" s="2" t="s">
        <v>116</v>
      </c>
      <c r="AE3" s="2" t="s">
        <v>133</v>
      </c>
      <c r="AF3" s="2" t="s">
        <v>87</v>
      </c>
      <c r="AG3" s="2" t="s">
        <v>134</v>
      </c>
    </row>
    <row r="4" spans="1:33" x14ac:dyDescent="0.2">
      <c r="A4" s="2">
        <v>5</v>
      </c>
      <c r="B4" s="2" t="s">
        <v>160</v>
      </c>
      <c r="C4" s="2" t="s">
        <v>83</v>
      </c>
      <c r="D4" s="2" t="s">
        <v>84</v>
      </c>
      <c r="E4" s="2" t="s">
        <v>85</v>
      </c>
      <c r="F4" s="2" t="s">
        <v>80</v>
      </c>
      <c r="G4" s="2">
        <v>40</v>
      </c>
      <c r="H4" s="4">
        <v>400</v>
      </c>
      <c r="I4" s="4">
        <v>9.8189655172413808</v>
      </c>
      <c r="J4" s="4">
        <v>1.775709711858146</v>
      </c>
      <c r="K4" s="2">
        <v>3</v>
      </c>
      <c r="L4" s="4">
        <v>11.630252100840336</v>
      </c>
      <c r="M4" s="4">
        <v>2.4665675952431833E-2</v>
      </c>
      <c r="N4" s="2">
        <v>3</v>
      </c>
      <c r="O4" s="2" t="s">
        <v>141</v>
      </c>
      <c r="R4" s="2" t="s">
        <v>73</v>
      </c>
      <c r="S4" s="2" t="s">
        <v>73</v>
      </c>
      <c r="T4" s="2" t="s">
        <v>73</v>
      </c>
      <c r="U4" s="2">
        <v>19</v>
      </c>
      <c r="W4" s="2">
        <v>24</v>
      </c>
      <c r="Y4" s="2" t="s">
        <v>89</v>
      </c>
      <c r="Z4" s="2">
        <v>5</v>
      </c>
      <c r="AB4" s="2" t="s">
        <v>116</v>
      </c>
      <c r="AE4" s="2" t="s">
        <v>142</v>
      </c>
      <c r="AF4" s="2" t="s">
        <v>73</v>
      </c>
      <c r="AG4" s="2" t="s">
        <v>161</v>
      </c>
    </row>
    <row r="5" spans="1:33" x14ac:dyDescent="0.2">
      <c r="A5" s="2">
        <v>6</v>
      </c>
      <c r="B5" s="2" t="s">
        <v>168</v>
      </c>
      <c r="C5" s="2" t="s">
        <v>169</v>
      </c>
      <c r="D5" s="2" t="s">
        <v>121</v>
      </c>
      <c r="E5" s="2" t="s">
        <v>122</v>
      </c>
      <c r="F5" s="2" t="s">
        <v>78</v>
      </c>
      <c r="G5" s="2">
        <v>50</v>
      </c>
      <c r="H5" s="4">
        <v>400</v>
      </c>
      <c r="I5" s="4">
        <v>117</v>
      </c>
      <c r="J5" s="4">
        <v>27</v>
      </c>
      <c r="K5" s="2">
        <v>3</v>
      </c>
      <c r="L5" s="4">
        <v>91</v>
      </c>
      <c r="M5" s="4">
        <v>14</v>
      </c>
      <c r="N5" s="2">
        <v>3</v>
      </c>
      <c r="O5" s="2" t="s">
        <v>75</v>
      </c>
      <c r="P5" s="2" t="s">
        <v>34</v>
      </c>
      <c r="R5" s="2" t="s">
        <v>73</v>
      </c>
      <c r="S5" s="2" t="s">
        <v>73</v>
      </c>
      <c r="T5" s="2" t="s">
        <v>73</v>
      </c>
      <c r="U5" s="2">
        <v>20</v>
      </c>
      <c r="W5" s="2">
        <v>12</v>
      </c>
      <c r="Y5" s="2" t="s">
        <v>89</v>
      </c>
      <c r="Z5" s="2">
        <v>7</v>
      </c>
      <c r="AB5" s="2" t="s">
        <v>116</v>
      </c>
      <c r="AC5" s="2">
        <v>375</v>
      </c>
      <c r="AE5" s="2" t="s">
        <v>94</v>
      </c>
      <c r="AF5" s="2" t="s">
        <v>73</v>
      </c>
      <c r="AG5" s="2" t="s">
        <v>170</v>
      </c>
    </row>
    <row r="6" spans="1:33" x14ac:dyDescent="0.2">
      <c r="A6" s="2">
        <v>7</v>
      </c>
      <c r="B6" s="2" t="s">
        <v>168</v>
      </c>
      <c r="C6" s="2" t="s">
        <v>169</v>
      </c>
      <c r="D6" s="2" t="s">
        <v>121</v>
      </c>
      <c r="E6" s="2" t="s">
        <v>122</v>
      </c>
      <c r="F6" s="2" t="s">
        <v>80</v>
      </c>
      <c r="G6" s="2">
        <v>50</v>
      </c>
      <c r="H6" s="4">
        <v>400</v>
      </c>
      <c r="I6" s="4">
        <v>6.69</v>
      </c>
      <c r="J6" s="4">
        <v>0.21</v>
      </c>
      <c r="K6" s="2">
        <v>3</v>
      </c>
      <c r="L6" s="4">
        <v>6.11</v>
      </c>
      <c r="M6" s="4">
        <v>0.82</v>
      </c>
      <c r="N6" s="2">
        <v>3</v>
      </c>
      <c r="O6" s="2" t="s">
        <v>75</v>
      </c>
      <c r="P6" s="2" t="s">
        <v>34</v>
      </c>
      <c r="R6" s="2" t="s">
        <v>73</v>
      </c>
      <c r="S6" s="2" t="s">
        <v>73</v>
      </c>
      <c r="T6" s="2" t="s">
        <v>73</v>
      </c>
      <c r="U6" s="2">
        <v>20</v>
      </c>
      <c r="W6" s="2">
        <v>12</v>
      </c>
      <c r="Y6" s="2" t="s">
        <v>89</v>
      </c>
      <c r="Z6" s="2">
        <v>7</v>
      </c>
      <c r="AB6" s="2" t="s">
        <v>116</v>
      </c>
      <c r="AC6" s="2">
        <v>375</v>
      </c>
      <c r="AE6" s="2" t="s">
        <v>94</v>
      </c>
      <c r="AF6" s="2" t="s">
        <v>73</v>
      </c>
      <c r="AG6" s="2" t="s">
        <v>170</v>
      </c>
    </row>
    <row r="7" spans="1:33" x14ac:dyDescent="0.2">
      <c r="A7" s="2">
        <v>8</v>
      </c>
      <c r="B7" s="2" t="s">
        <v>168</v>
      </c>
      <c r="C7" s="2" t="s">
        <v>169</v>
      </c>
      <c r="D7" s="2" t="s">
        <v>121</v>
      </c>
      <c r="E7" s="2" t="s">
        <v>122</v>
      </c>
      <c r="F7" s="2" t="s">
        <v>78</v>
      </c>
      <c r="G7" s="2">
        <v>50</v>
      </c>
      <c r="H7" s="4">
        <v>400</v>
      </c>
      <c r="I7" s="4">
        <v>116</v>
      </c>
      <c r="J7" s="4">
        <v>5</v>
      </c>
      <c r="K7" s="2">
        <v>3</v>
      </c>
      <c r="L7" s="4">
        <v>124</v>
      </c>
      <c r="M7" s="4">
        <v>18</v>
      </c>
      <c r="N7" s="2">
        <v>3</v>
      </c>
      <c r="O7" s="2" t="s">
        <v>75</v>
      </c>
      <c r="P7" s="2" t="s">
        <v>34</v>
      </c>
      <c r="R7" s="2" t="s">
        <v>73</v>
      </c>
      <c r="S7" s="2" t="s">
        <v>73</v>
      </c>
      <c r="T7" s="2" t="s">
        <v>73</v>
      </c>
      <c r="U7" s="2">
        <v>20</v>
      </c>
      <c r="W7" s="2">
        <v>12</v>
      </c>
      <c r="Y7" s="2" t="s">
        <v>89</v>
      </c>
      <c r="Z7" s="2">
        <v>7</v>
      </c>
      <c r="AB7" s="2" t="s">
        <v>116</v>
      </c>
      <c r="AC7" s="2">
        <v>750</v>
      </c>
      <c r="AE7" s="2" t="s">
        <v>94</v>
      </c>
      <c r="AF7" s="2" t="s">
        <v>73</v>
      </c>
      <c r="AG7" s="2" t="s">
        <v>171</v>
      </c>
    </row>
    <row r="8" spans="1:33" x14ac:dyDescent="0.2">
      <c r="A8" s="2">
        <v>9</v>
      </c>
      <c r="B8" s="2" t="s">
        <v>168</v>
      </c>
      <c r="C8" s="2" t="s">
        <v>169</v>
      </c>
      <c r="D8" s="2" t="s">
        <v>121</v>
      </c>
      <c r="E8" s="2" t="s">
        <v>122</v>
      </c>
      <c r="F8" s="2" t="s">
        <v>80</v>
      </c>
      <c r="G8" s="2">
        <v>50</v>
      </c>
      <c r="H8" s="4">
        <v>400</v>
      </c>
      <c r="I8" s="4">
        <v>6.5</v>
      </c>
      <c r="J8" s="4">
        <v>0.44</v>
      </c>
      <c r="K8" s="2">
        <v>3</v>
      </c>
      <c r="L8" s="4">
        <v>6.98</v>
      </c>
      <c r="M8" s="4">
        <v>0.4</v>
      </c>
      <c r="N8" s="2">
        <v>3</v>
      </c>
      <c r="O8" s="2" t="s">
        <v>75</v>
      </c>
      <c r="P8" s="2" t="s">
        <v>34</v>
      </c>
      <c r="R8" s="2" t="s">
        <v>73</v>
      </c>
      <c r="S8" s="2" t="s">
        <v>73</v>
      </c>
      <c r="T8" s="2" t="s">
        <v>73</v>
      </c>
      <c r="U8" s="2">
        <v>20</v>
      </c>
      <c r="W8" s="2">
        <v>12</v>
      </c>
      <c r="Y8" s="2" t="s">
        <v>89</v>
      </c>
      <c r="Z8" s="2">
        <v>7</v>
      </c>
      <c r="AB8" s="2" t="s">
        <v>116</v>
      </c>
      <c r="AC8" s="2">
        <v>750</v>
      </c>
      <c r="AE8" s="2" t="s">
        <v>94</v>
      </c>
      <c r="AF8" s="2" t="s">
        <v>73</v>
      </c>
      <c r="AG8" s="2" t="s">
        <v>171</v>
      </c>
    </row>
    <row r="9" spans="1:33" x14ac:dyDescent="0.2">
      <c r="A9" s="2">
        <v>10</v>
      </c>
      <c r="B9" s="2" t="s">
        <v>168</v>
      </c>
      <c r="C9" s="2" t="s">
        <v>169</v>
      </c>
      <c r="D9" s="2" t="s">
        <v>121</v>
      </c>
      <c r="E9" s="2" t="s">
        <v>122</v>
      </c>
      <c r="F9" s="2" t="s">
        <v>78</v>
      </c>
      <c r="G9" s="2">
        <v>50</v>
      </c>
      <c r="H9" s="4">
        <v>400</v>
      </c>
      <c r="I9" s="4">
        <v>108</v>
      </c>
      <c r="J9" s="4">
        <v>9</v>
      </c>
      <c r="K9" s="2">
        <v>3</v>
      </c>
      <c r="L9" s="4">
        <v>82</v>
      </c>
      <c r="M9" s="4">
        <v>11</v>
      </c>
      <c r="N9" s="2">
        <v>3</v>
      </c>
      <c r="O9" s="2" t="s">
        <v>75</v>
      </c>
      <c r="P9" s="2" t="s">
        <v>34</v>
      </c>
      <c r="R9" s="2" t="s">
        <v>73</v>
      </c>
      <c r="S9" s="2" t="s">
        <v>73</v>
      </c>
      <c r="T9" s="2" t="s">
        <v>73</v>
      </c>
      <c r="U9" s="2">
        <v>24</v>
      </c>
      <c r="W9" s="2">
        <v>12</v>
      </c>
      <c r="Y9" s="2" t="s">
        <v>89</v>
      </c>
      <c r="Z9" s="2">
        <v>7</v>
      </c>
      <c r="AB9" s="2" t="s">
        <v>116</v>
      </c>
      <c r="AC9" s="2">
        <v>375</v>
      </c>
      <c r="AE9" s="2" t="s">
        <v>94</v>
      </c>
      <c r="AF9" s="2" t="s">
        <v>73</v>
      </c>
      <c r="AG9" s="2" t="s">
        <v>172</v>
      </c>
    </row>
    <row r="10" spans="1:33" x14ac:dyDescent="0.2">
      <c r="A10" s="2">
        <v>11</v>
      </c>
      <c r="B10" s="2" t="s">
        <v>168</v>
      </c>
      <c r="C10" s="2" t="s">
        <v>169</v>
      </c>
      <c r="D10" s="2" t="s">
        <v>121</v>
      </c>
      <c r="E10" s="2" t="s">
        <v>122</v>
      </c>
      <c r="F10" s="2" t="s">
        <v>80</v>
      </c>
      <c r="G10" s="2">
        <v>50</v>
      </c>
      <c r="H10" s="4">
        <v>400</v>
      </c>
      <c r="I10" s="4">
        <v>6.86</v>
      </c>
      <c r="J10" s="4">
        <v>0.21</v>
      </c>
      <c r="K10" s="2">
        <v>3</v>
      </c>
      <c r="L10" s="4">
        <v>5.83</v>
      </c>
      <c r="M10" s="4">
        <v>0.68</v>
      </c>
      <c r="N10" s="2">
        <v>3</v>
      </c>
      <c r="O10" s="2" t="s">
        <v>75</v>
      </c>
      <c r="P10" s="2" t="s">
        <v>34</v>
      </c>
      <c r="R10" s="2" t="s">
        <v>73</v>
      </c>
      <c r="S10" s="2" t="s">
        <v>73</v>
      </c>
      <c r="T10" s="2" t="s">
        <v>73</v>
      </c>
      <c r="U10" s="2">
        <v>24</v>
      </c>
      <c r="W10" s="2">
        <v>12</v>
      </c>
      <c r="Y10" s="2" t="s">
        <v>89</v>
      </c>
      <c r="Z10" s="2">
        <v>7</v>
      </c>
      <c r="AB10" s="2" t="s">
        <v>116</v>
      </c>
      <c r="AC10" s="2">
        <v>375</v>
      </c>
      <c r="AE10" s="2" t="s">
        <v>94</v>
      </c>
      <c r="AF10" s="2" t="s">
        <v>73</v>
      </c>
      <c r="AG10" s="2" t="s">
        <v>172</v>
      </c>
    </row>
    <row r="11" spans="1:33" x14ac:dyDescent="0.2">
      <c r="A11" s="2">
        <v>12</v>
      </c>
      <c r="B11" s="2" t="s">
        <v>168</v>
      </c>
      <c r="C11" s="2" t="s">
        <v>169</v>
      </c>
      <c r="D11" s="2" t="s">
        <v>121</v>
      </c>
      <c r="E11" s="2" t="s">
        <v>122</v>
      </c>
      <c r="F11" s="2" t="s">
        <v>78</v>
      </c>
      <c r="G11" s="2">
        <v>50</v>
      </c>
      <c r="H11" s="4">
        <v>400</v>
      </c>
      <c r="I11" s="4">
        <v>108</v>
      </c>
      <c r="J11" s="4">
        <v>19</v>
      </c>
      <c r="K11" s="2">
        <v>3</v>
      </c>
      <c r="L11" s="4">
        <v>109</v>
      </c>
      <c r="M11" s="4">
        <v>14</v>
      </c>
      <c r="N11" s="2">
        <v>3</v>
      </c>
      <c r="O11" s="2" t="s">
        <v>75</v>
      </c>
      <c r="P11" s="2" t="s">
        <v>34</v>
      </c>
      <c r="R11" s="2" t="s">
        <v>73</v>
      </c>
      <c r="S11" s="2" t="s">
        <v>73</v>
      </c>
      <c r="T11" s="2" t="s">
        <v>73</v>
      </c>
      <c r="U11" s="2">
        <v>24</v>
      </c>
      <c r="W11" s="2">
        <v>12</v>
      </c>
      <c r="Y11" s="2" t="s">
        <v>89</v>
      </c>
      <c r="Z11" s="2">
        <v>7</v>
      </c>
      <c r="AB11" s="2" t="s">
        <v>116</v>
      </c>
      <c r="AC11" s="2">
        <v>375</v>
      </c>
      <c r="AE11" s="2" t="s">
        <v>94</v>
      </c>
      <c r="AF11" s="2" t="s">
        <v>73</v>
      </c>
      <c r="AG11" s="2" t="s">
        <v>173</v>
      </c>
    </row>
    <row r="12" spans="1:33" x14ac:dyDescent="0.2">
      <c r="A12" s="2">
        <v>13</v>
      </c>
      <c r="B12" s="2" t="s">
        <v>168</v>
      </c>
      <c r="C12" s="2" t="s">
        <v>169</v>
      </c>
      <c r="D12" s="2" t="s">
        <v>121</v>
      </c>
      <c r="E12" s="2" t="s">
        <v>122</v>
      </c>
      <c r="F12" s="2" t="s">
        <v>80</v>
      </c>
      <c r="G12" s="2">
        <v>50</v>
      </c>
      <c r="H12" s="4">
        <v>400</v>
      </c>
      <c r="I12" s="4">
        <v>7.04</v>
      </c>
      <c r="J12" s="4">
        <v>0.17</v>
      </c>
      <c r="K12" s="2">
        <v>3</v>
      </c>
      <c r="L12" s="4">
        <v>6.7</v>
      </c>
      <c r="M12" s="4">
        <v>0.18</v>
      </c>
      <c r="N12" s="2">
        <v>3</v>
      </c>
      <c r="O12" s="2" t="s">
        <v>75</v>
      </c>
      <c r="P12" s="2" t="s">
        <v>34</v>
      </c>
      <c r="R12" s="2" t="s">
        <v>73</v>
      </c>
      <c r="S12" s="2" t="s">
        <v>73</v>
      </c>
      <c r="T12" s="2" t="s">
        <v>73</v>
      </c>
      <c r="U12" s="2">
        <v>24</v>
      </c>
      <c r="W12" s="2">
        <v>12</v>
      </c>
      <c r="Y12" s="2" t="s">
        <v>89</v>
      </c>
      <c r="Z12" s="2">
        <v>7</v>
      </c>
      <c r="AB12" s="2" t="s">
        <v>116</v>
      </c>
      <c r="AC12" s="2">
        <v>375</v>
      </c>
      <c r="AE12" s="2" t="s">
        <v>94</v>
      </c>
      <c r="AF12" s="2" t="s">
        <v>73</v>
      </c>
      <c r="AG12" s="2" t="s">
        <v>173</v>
      </c>
    </row>
    <row r="13" spans="1:33" x14ac:dyDescent="0.2">
      <c r="A13" s="2">
        <v>14</v>
      </c>
      <c r="B13" s="2" t="s">
        <v>178</v>
      </c>
      <c r="C13" s="2" t="s">
        <v>120</v>
      </c>
      <c r="D13" s="2" t="s">
        <v>121</v>
      </c>
      <c r="E13" s="2" t="s">
        <v>122</v>
      </c>
      <c r="F13" s="2" t="s">
        <v>78</v>
      </c>
      <c r="G13" s="2">
        <v>14</v>
      </c>
      <c r="H13" s="4">
        <v>190</v>
      </c>
      <c r="I13" s="4">
        <v>73.819999999999993</v>
      </c>
      <c r="J13" s="4">
        <v>6.48</v>
      </c>
      <c r="K13" s="6">
        <v>3</v>
      </c>
      <c r="L13" s="4">
        <v>112.39</v>
      </c>
      <c r="M13" s="2">
        <v>14.6</v>
      </c>
      <c r="N13" s="2">
        <v>3</v>
      </c>
      <c r="O13" s="2" t="s">
        <v>75</v>
      </c>
      <c r="P13" s="2" t="s">
        <v>34</v>
      </c>
      <c r="R13" s="2" t="s">
        <v>73</v>
      </c>
      <c r="S13" s="2" t="s">
        <v>73</v>
      </c>
      <c r="T13" s="2" t="s">
        <v>73</v>
      </c>
      <c r="U13" s="2">
        <v>14</v>
      </c>
      <c r="V13" s="2" t="s">
        <v>73</v>
      </c>
      <c r="W13" s="2">
        <v>12</v>
      </c>
      <c r="X13" s="2">
        <v>34.78</v>
      </c>
      <c r="Y13" s="2" t="s">
        <v>98</v>
      </c>
      <c r="Z13" s="2">
        <v>7</v>
      </c>
      <c r="AB13" s="2" t="s">
        <v>116</v>
      </c>
      <c r="AC13" s="2">
        <v>390</v>
      </c>
      <c r="AE13" s="2" t="s">
        <v>104</v>
      </c>
      <c r="AF13" s="2" t="s">
        <v>73</v>
      </c>
      <c r="AG13" s="2" t="s">
        <v>181</v>
      </c>
    </row>
    <row r="14" spans="1:33" x14ac:dyDescent="0.2">
      <c r="A14" s="2">
        <v>15</v>
      </c>
      <c r="B14" s="2" t="s">
        <v>178</v>
      </c>
      <c r="C14" s="2" t="s">
        <v>120</v>
      </c>
      <c r="D14" s="2" t="s">
        <v>121</v>
      </c>
      <c r="E14" s="2" t="s">
        <v>122</v>
      </c>
      <c r="F14" s="2" t="s">
        <v>80</v>
      </c>
      <c r="G14" s="2">
        <v>14</v>
      </c>
      <c r="H14" s="4">
        <v>190</v>
      </c>
      <c r="I14" s="4">
        <v>4.26</v>
      </c>
      <c r="J14" s="4">
        <v>0.28999999999999998</v>
      </c>
      <c r="K14" s="6">
        <v>3</v>
      </c>
      <c r="L14" s="4">
        <v>5.9</v>
      </c>
      <c r="M14" s="2">
        <v>0.23</v>
      </c>
      <c r="N14" s="2">
        <v>3</v>
      </c>
      <c r="O14" s="2" t="s">
        <v>75</v>
      </c>
      <c r="P14" s="2" t="s">
        <v>34</v>
      </c>
      <c r="R14" s="2" t="s">
        <v>73</v>
      </c>
      <c r="S14" s="2" t="s">
        <v>73</v>
      </c>
      <c r="T14" s="2" t="s">
        <v>73</v>
      </c>
      <c r="U14" s="2">
        <v>14</v>
      </c>
      <c r="V14" s="2" t="s">
        <v>73</v>
      </c>
      <c r="W14" s="2">
        <v>12</v>
      </c>
      <c r="X14" s="2">
        <v>34.78</v>
      </c>
      <c r="Y14" s="2" t="s">
        <v>98</v>
      </c>
      <c r="Z14" s="2">
        <v>7</v>
      </c>
      <c r="AB14" s="2" t="s">
        <v>116</v>
      </c>
      <c r="AC14" s="2">
        <v>390</v>
      </c>
      <c r="AE14" s="2" t="s">
        <v>104</v>
      </c>
      <c r="AF14" s="2" t="s">
        <v>73</v>
      </c>
      <c r="AG14" s="2" t="s">
        <v>181</v>
      </c>
    </row>
    <row r="15" spans="1:33" x14ac:dyDescent="0.2">
      <c r="A15" s="2">
        <v>16</v>
      </c>
      <c r="B15" s="2" t="s">
        <v>183</v>
      </c>
      <c r="C15" s="2" t="s">
        <v>237</v>
      </c>
      <c r="D15" s="2" t="s">
        <v>84</v>
      </c>
      <c r="E15" s="2" t="s">
        <v>85</v>
      </c>
      <c r="F15" s="2" t="s">
        <v>78</v>
      </c>
      <c r="G15" s="2">
        <v>15</v>
      </c>
      <c r="H15" s="4">
        <v>250</v>
      </c>
      <c r="I15" s="4">
        <v>201.57400000000001</v>
      </c>
      <c r="J15" s="4">
        <v>32.469686082094668</v>
      </c>
      <c r="K15" s="2">
        <v>3</v>
      </c>
      <c r="L15" s="4">
        <v>83.231999999999999</v>
      </c>
      <c r="M15" s="4">
        <v>10.091343697090096</v>
      </c>
      <c r="N15" s="2">
        <v>3</v>
      </c>
      <c r="O15" s="2" t="s">
        <v>95</v>
      </c>
      <c r="P15" s="2" t="s">
        <v>616</v>
      </c>
      <c r="R15" s="2" t="s">
        <v>73</v>
      </c>
      <c r="S15" s="2" t="s">
        <v>73</v>
      </c>
      <c r="T15" s="2" t="s">
        <v>73</v>
      </c>
      <c r="U15" s="2">
        <v>19</v>
      </c>
      <c r="W15" s="2">
        <v>12</v>
      </c>
      <c r="Y15" s="2" t="s">
        <v>89</v>
      </c>
      <c r="Z15" s="2">
        <v>6</v>
      </c>
      <c r="AB15" s="2" t="s">
        <v>116</v>
      </c>
      <c r="AE15" s="2" t="s">
        <v>142</v>
      </c>
      <c r="AF15" s="2" t="s">
        <v>73</v>
      </c>
      <c r="AG15" s="2" t="s">
        <v>404</v>
      </c>
    </row>
    <row r="16" spans="1:33" x14ac:dyDescent="0.2">
      <c r="A16" s="2">
        <v>17</v>
      </c>
      <c r="B16" s="2" t="s">
        <v>183</v>
      </c>
      <c r="C16" s="2" t="s">
        <v>237</v>
      </c>
      <c r="D16" s="2" t="s">
        <v>84</v>
      </c>
      <c r="E16" s="2" t="s">
        <v>85</v>
      </c>
      <c r="F16" s="2" t="s">
        <v>80</v>
      </c>
      <c r="G16" s="2">
        <v>15</v>
      </c>
      <c r="H16" s="4">
        <v>250</v>
      </c>
      <c r="I16" s="4">
        <v>4.9132035001340579</v>
      </c>
      <c r="J16" s="4">
        <v>1.0551268956002275</v>
      </c>
      <c r="K16" s="2">
        <v>3</v>
      </c>
      <c r="L16" s="4">
        <v>6.3472889498970488</v>
      </c>
      <c r="M16" s="4">
        <v>1.0961347183504262</v>
      </c>
      <c r="N16" s="2">
        <v>3</v>
      </c>
      <c r="O16" s="2" t="s">
        <v>95</v>
      </c>
      <c r="P16" s="2" t="s">
        <v>616</v>
      </c>
      <c r="R16" s="2" t="s">
        <v>73</v>
      </c>
      <c r="S16" s="2" t="s">
        <v>73</v>
      </c>
      <c r="T16" s="2" t="s">
        <v>73</v>
      </c>
      <c r="U16" s="2">
        <v>19</v>
      </c>
      <c r="W16" s="2">
        <v>12</v>
      </c>
      <c r="Y16" s="2" t="s">
        <v>89</v>
      </c>
      <c r="Z16" s="2">
        <v>6</v>
      </c>
      <c r="AB16" s="2" t="s">
        <v>116</v>
      </c>
      <c r="AE16" s="2" t="s">
        <v>142</v>
      </c>
      <c r="AF16" s="2" t="s">
        <v>73</v>
      </c>
      <c r="AG16" s="2" t="s">
        <v>404</v>
      </c>
    </row>
    <row r="17" spans="1:33" x14ac:dyDescent="0.2">
      <c r="A17" s="2">
        <v>18</v>
      </c>
      <c r="B17" s="2" t="s">
        <v>183</v>
      </c>
      <c r="C17" s="2" t="s">
        <v>240</v>
      </c>
      <c r="D17" s="2" t="s">
        <v>135</v>
      </c>
      <c r="E17" s="2" t="s">
        <v>106</v>
      </c>
      <c r="F17" s="2" t="s">
        <v>78</v>
      </c>
      <c r="G17" s="2">
        <v>15</v>
      </c>
      <c r="H17" s="4">
        <v>500</v>
      </c>
      <c r="I17" s="4">
        <v>69.977000000000004</v>
      </c>
      <c r="J17" s="4">
        <v>97.20538292772035</v>
      </c>
      <c r="K17" s="2">
        <v>3</v>
      </c>
      <c r="L17" s="4">
        <v>116.881</v>
      </c>
      <c r="M17" s="4">
        <v>39.274103105254838</v>
      </c>
      <c r="N17" s="2">
        <v>3</v>
      </c>
      <c r="O17" s="2" t="s">
        <v>95</v>
      </c>
      <c r="P17" s="2" t="s">
        <v>616</v>
      </c>
      <c r="R17" s="2" t="s">
        <v>73</v>
      </c>
      <c r="S17" s="2" t="s">
        <v>73</v>
      </c>
      <c r="T17" s="2" t="s">
        <v>73</v>
      </c>
      <c r="U17" s="2">
        <v>19</v>
      </c>
      <c r="W17" s="2">
        <v>12</v>
      </c>
      <c r="Y17" s="2" t="s">
        <v>89</v>
      </c>
      <c r="Z17" s="2">
        <v>6</v>
      </c>
      <c r="AB17" s="2" t="s">
        <v>116</v>
      </c>
      <c r="AE17" s="2" t="s">
        <v>142</v>
      </c>
      <c r="AF17" s="2" t="s">
        <v>73</v>
      </c>
      <c r="AG17" s="2" t="s">
        <v>404</v>
      </c>
    </row>
    <row r="18" spans="1:33" x14ac:dyDescent="0.2">
      <c r="A18" s="2">
        <v>19</v>
      </c>
      <c r="B18" s="2" t="s">
        <v>183</v>
      </c>
      <c r="C18" s="2" t="s">
        <v>240</v>
      </c>
      <c r="D18" s="2" t="s">
        <v>135</v>
      </c>
      <c r="E18" s="2" t="s">
        <v>106</v>
      </c>
      <c r="F18" s="2" t="s">
        <v>80</v>
      </c>
      <c r="G18" s="2">
        <v>30</v>
      </c>
      <c r="H18" s="4">
        <v>500</v>
      </c>
      <c r="I18" s="4">
        <v>6.8912176280630657</v>
      </c>
      <c r="J18" s="4">
        <v>3.3456843841662613</v>
      </c>
      <c r="K18" s="2">
        <v>3</v>
      </c>
      <c r="L18" s="4">
        <v>7.8118567036492452</v>
      </c>
      <c r="M18" s="4">
        <v>3.9082399773701564</v>
      </c>
      <c r="N18" s="2">
        <v>3</v>
      </c>
      <c r="O18" s="2" t="s">
        <v>95</v>
      </c>
      <c r="P18" s="2" t="s">
        <v>616</v>
      </c>
      <c r="R18" s="2" t="s">
        <v>73</v>
      </c>
      <c r="S18" s="2" t="s">
        <v>73</v>
      </c>
      <c r="T18" s="2" t="s">
        <v>73</v>
      </c>
      <c r="U18" s="2">
        <v>19</v>
      </c>
      <c r="W18" s="2">
        <v>12</v>
      </c>
      <c r="Y18" s="2" t="s">
        <v>89</v>
      </c>
      <c r="Z18" s="2">
        <v>6</v>
      </c>
      <c r="AB18" s="2" t="s">
        <v>116</v>
      </c>
      <c r="AE18" s="2" t="s">
        <v>142</v>
      </c>
      <c r="AF18" s="2" t="s">
        <v>73</v>
      </c>
      <c r="AG18" s="2" t="s">
        <v>404</v>
      </c>
    </row>
    <row r="19" spans="1:33" x14ac:dyDescent="0.2">
      <c r="A19" s="2">
        <v>20</v>
      </c>
      <c r="B19" s="2" t="s">
        <v>183</v>
      </c>
      <c r="C19" s="2" t="s">
        <v>241</v>
      </c>
      <c r="D19" s="2" t="s">
        <v>92</v>
      </c>
      <c r="E19" s="2" t="s">
        <v>150</v>
      </c>
      <c r="F19" s="2" t="s">
        <v>78</v>
      </c>
      <c r="G19" s="2">
        <v>15</v>
      </c>
      <c r="H19" s="4">
        <v>500</v>
      </c>
      <c r="I19" s="4">
        <v>135.00800000000001</v>
      </c>
      <c r="J19" s="4">
        <v>38.817558761091</v>
      </c>
      <c r="K19" s="2">
        <v>3</v>
      </c>
      <c r="L19" s="4">
        <v>14.032</v>
      </c>
      <c r="M19" s="4">
        <v>2.6248467886351006</v>
      </c>
      <c r="N19" s="2">
        <v>3</v>
      </c>
      <c r="O19" s="2" t="s">
        <v>95</v>
      </c>
      <c r="P19" s="2" t="s">
        <v>616</v>
      </c>
      <c r="R19" s="2" t="s">
        <v>73</v>
      </c>
      <c r="S19" s="2" t="s">
        <v>73</v>
      </c>
      <c r="T19" s="2" t="s">
        <v>73</v>
      </c>
      <c r="U19" s="2">
        <v>19</v>
      </c>
      <c r="W19" s="2">
        <v>12</v>
      </c>
      <c r="Y19" s="2" t="s">
        <v>89</v>
      </c>
      <c r="Z19" s="2">
        <v>6</v>
      </c>
      <c r="AB19" s="2" t="s">
        <v>116</v>
      </c>
      <c r="AE19" s="2" t="s">
        <v>142</v>
      </c>
      <c r="AF19" s="2" t="s">
        <v>73</v>
      </c>
      <c r="AG19" s="2" t="s">
        <v>404</v>
      </c>
    </row>
    <row r="20" spans="1:33" x14ac:dyDescent="0.2">
      <c r="A20" s="2">
        <v>21</v>
      </c>
      <c r="B20" s="2" t="s">
        <v>183</v>
      </c>
      <c r="C20" s="2" t="s">
        <v>242</v>
      </c>
      <c r="D20" s="2" t="s">
        <v>92</v>
      </c>
      <c r="E20" s="2" t="s">
        <v>150</v>
      </c>
      <c r="F20" s="2" t="s">
        <v>80</v>
      </c>
      <c r="G20" s="2">
        <v>15</v>
      </c>
      <c r="H20" s="4">
        <v>500</v>
      </c>
      <c r="I20" s="4">
        <v>6.1487452748553997</v>
      </c>
      <c r="J20" s="4">
        <v>2.6950238826343229</v>
      </c>
      <c r="K20" s="2">
        <v>3</v>
      </c>
      <c r="L20" s="4">
        <v>9.5978112175102606</v>
      </c>
      <c r="M20" s="4">
        <v>2.5390519340897568</v>
      </c>
      <c r="N20" s="2">
        <v>3</v>
      </c>
      <c r="O20" s="2" t="s">
        <v>95</v>
      </c>
      <c r="P20" s="2" t="s">
        <v>616</v>
      </c>
      <c r="R20" s="2" t="s">
        <v>73</v>
      </c>
      <c r="S20" s="2" t="s">
        <v>73</v>
      </c>
      <c r="T20" s="2" t="s">
        <v>73</v>
      </c>
      <c r="U20" s="2">
        <v>19</v>
      </c>
      <c r="W20" s="2">
        <v>12</v>
      </c>
      <c r="Y20" s="2" t="s">
        <v>89</v>
      </c>
      <c r="Z20" s="2">
        <v>6</v>
      </c>
      <c r="AB20" s="2" t="s">
        <v>152</v>
      </c>
      <c r="AE20" s="2" t="s">
        <v>142</v>
      </c>
      <c r="AF20" s="2" t="s">
        <v>73</v>
      </c>
      <c r="AG20" s="2" t="s">
        <v>404</v>
      </c>
    </row>
    <row r="21" spans="1:33" x14ac:dyDescent="0.2">
      <c r="A21" s="2">
        <v>22</v>
      </c>
      <c r="B21" s="2" t="s">
        <v>183</v>
      </c>
      <c r="C21" s="2" t="s">
        <v>243</v>
      </c>
      <c r="D21" s="2" t="s">
        <v>70</v>
      </c>
      <c r="E21" s="2" t="s">
        <v>106</v>
      </c>
      <c r="F21" s="2" t="s">
        <v>78</v>
      </c>
      <c r="G21" s="2">
        <v>15</v>
      </c>
      <c r="H21" s="4">
        <v>500</v>
      </c>
      <c r="I21" s="4">
        <v>196.06</v>
      </c>
      <c r="J21" s="4">
        <v>29.543971675880005</v>
      </c>
      <c r="K21" s="2">
        <v>3</v>
      </c>
      <c r="L21" s="4">
        <v>161.29900000000001</v>
      </c>
      <c r="M21" s="4">
        <v>51.964319757069738</v>
      </c>
      <c r="N21" s="2">
        <v>3</v>
      </c>
      <c r="O21" s="2" t="s">
        <v>95</v>
      </c>
      <c r="P21" s="2" t="s">
        <v>616</v>
      </c>
      <c r="R21" s="2" t="s">
        <v>73</v>
      </c>
      <c r="S21" s="2" t="s">
        <v>73</v>
      </c>
      <c r="T21" s="2" t="s">
        <v>73</v>
      </c>
      <c r="U21" s="2">
        <v>19</v>
      </c>
      <c r="W21" s="2">
        <v>12</v>
      </c>
      <c r="Y21" s="2" t="s">
        <v>89</v>
      </c>
      <c r="Z21" s="2">
        <v>6</v>
      </c>
      <c r="AB21" s="2" t="s">
        <v>152</v>
      </c>
      <c r="AE21" s="2" t="s">
        <v>142</v>
      </c>
      <c r="AF21" s="2" t="s">
        <v>73</v>
      </c>
      <c r="AG21" s="2" t="s">
        <v>404</v>
      </c>
    </row>
    <row r="22" spans="1:33" x14ac:dyDescent="0.2">
      <c r="A22" s="2">
        <v>23</v>
      </c>
      <c r="B22" s="2" t="s">
        <v>183</v>
      </c>
      <c r="C22" s="2" t="s">
        <v>243</v>
      </c>
      <c r="D22" s="2" t="s">
        <v>70</v>
      </c>
      <c r="E22" s="2" t="s">
        <v>106</v>
      </c>
      <c r="F22" s="2" t="s">
        <v>80</v>
      </c>
      <c r="G22" s="2">
        <v>15</v>
      </c>
      <c r="H22" s="4">
        <v>500</v>
      </c>
      <c r="I22" s="4">
        <v>7.5355523099392725</v>
      </c>
      <c r="J22" s="4">
        <v>1.7006658105573655</v>
      </c>
      <c r="K22" s="2">
        <v>3</v>
      </c>
      <c r="L22" s="4">
        <v>7.7051208560236937</v>
      </c>
      <c r="M22" s="4">
        <v>3.4729502106118653</v>
      </c>
      <c r="N22" s="2">
        <v>3</v>
      </c>
      <c r="O22" s="2" t="s">
        <v>95</v>
      </c>
      <c r="P22" s="2" t="s">
        <v>616</v>
      </c>
      <c r="R22" s="2" t="s">
        <v>73</v>
      </c>
      <c r="S22" s="2" t="s">
        <v>73</v>
      </c>
      <c r="T22" s="2" t="s">
        <v>73</v>
      </c>
      <c r="U22" s="2">
        <v>19</v>
      </c>
      <c r="W22" s="2">
        <v>12</v>
      </c>
      <c r="Y22" s="2" t="s">
        <v>89</v>
      </c>
      <c r="Z22" s="2">
        <v>6</v>
      </c>
      <c r="AB22" s="2" t="s">
        <v>116</v>
      </c>
      <c r="AE22" s="2" t="s">
        <v>142</v>
      </c>
      <c r="AF22" s="2" t="s">
        <v>73</v>
      </c>
      <c r="AG22" s="2" t="s">
        <v>404</v>
      </c>
    </row>
    <row r="23" spans="1:33" x14ac:dyDescent="0.2">
      <c r="A23" s="2">
        <v>24</v>
      </c>
      <c r="B23" s="2" t="s">
        <v>183</v>
      </c>
      <c r="C23" s="2" t="s">
        <v>244</v>
      </c>
      <c r="D23" s="2" t="s">
        <v>84</v>
      </c>
      <c r="E23" s="2" t="s">
        <v>85</v>
      </c>
      <c r="F23" s="2" t="s">
        <v>78</v>
      </c>
      <c r="G23" s="2">
        <v>15</v>
      </c>
      <c r="H23" s="4">
        <v>100</v>
      </c>
      <c r="I23" s="4">
        <v>148.66999999999999</v>
      </c>
      <c r="J23" s="4">
        <v>120.25436499311074</v>
      </c>
      <c r="K23" s="2">
        <v>3</v>
      </c>
      <c r="L23" s="4">
        <v>59.982999999999997</v>
      </c>
      <c r="M23" s="4">
        <v>39.375675760763095</v>
      </c>
      <c r="N23" s="2">
        <v>3</v>
      </c>
      <c r="O23" s="2" t="s">
        <v>95</v>
      </c>
      <c r="P23" s="2" t="s">
        <v>616</v>
      </c>
      <c r="R23" s="2" t="s">
        <v>73</v>
      </c>
      <c r="S23" s="2" t="s">
        <v>73</v>
      </c>
      <c r="T23" s="2" t="s">
        <v>73</v>
      </c>
      <c r="U23" s="2">
        <v>19</v>
      </c>
      <c r="W23" s="2">
        <v>12</v>
      </c>
      <c r="Y23" s="2" t="s">
        <v>89</v>
      </c>
      <c r="Z23" s="2">
        <v>6</v>
      </c>
      <c r="AB23" s="2" t="s">
        <v>116</v>
      </c>
      <c r="AE23" s="2" t="s">
        <v>142</v>
      </c>
      <c r="AF23" s="2" t="s">
        <v>73</v>
      </c>
      <c r="AG23" s="2" t="s">
        <v>404</v>
      </c>
    </row>
    <row r="24" spans="1:33" x14ac:dyDescent="0.2">
      <c r="A24" s="2">
        <v>25</v>
      </c>
      <c r="B24" s="2" t="s">
        <v>183</v>
      </c>
      <c r="C24" s="2" t="s">
        <v>244</v>
      </c>
      <c r="D24" s="2" t="s">
        <v>84</v>
      </c>
      <c r="E24" s="2" t="s">
        <v>85</v>
      </c>
      <c r="F24" s="2" t="s">
        <v>80</v>
      </c>
      <c r="G24" s="2">
        <v>15</v>
      </c>
      <c r="H24" s="4">
        <v>100</v>
      </c>
      <c r="I24" s="4">
        <v>6.8863773217842414</v>
      </c>
      <c r="J24" s="4">
        <v>8.1343654224971846</v>
      </c>
      <c r="K24" s="2">
        <v>3</v>
      </c>
      <c r="L24" s="4">
        <v>7.4707933740191805</v>
      </c>
      <c r="M24" s="4">
        <v>6.935560429502643</v>
      </c>
      <c r="N24" s="2">
        <v>3</v>
      </c>
      <c r="O24" s="2" t="s">
        <v>95</v>
      </c>
      <c r="P24" s="2" t="s">
        <v>616</v>
      </c>
      <c r="R24" s="2" t="s">
        <v>73</v>
      </c>
      <c r="S24" s="2" t="s">
        <v>73</v>
      </c>
      <c r="T24" s="2" t="s">
        <v>73</v>
      </c>
      <c r="U24" s="2">
        <v>19</v>
      </c>
      <c r="W24" s="2">
        <v>12</v>
      </c>
      <c r="Y24" s="2" t="s">
        <v>89</v>
      </c>
      <c r="Z24" s="2">
        <v>6</v>
      </c>
      <c r="AB24" s="2" t="s">
        <v>116</v>
      </c>
      <c r="AE24" s="2" t="s">
        <v>142</v>
      </c>
      <c r="AF24" s="2" t="s">
        <v>73</v>
      </c>
      <c r="AG24" s="2" t="s">
        <v>404</v>
      </c>
    </row>
    <row r="25" spans="1:33" x14ac:dyDescent="0.2">
      <c r="A25" s="2">
        <v>26</v>
      </c>
      <c r="B25" s="2" t="s">
        <v>218</v>
      </c>
      <c r="C25" s="2" t="s">
        <v>185</v>
      </c>
      <c r="D25" s="2" t="s">
        <v>92</v>
      </c>
      <c r="E25" s="2" t="s">
        <v>150</v>
      </c>
      <c r="F25" s="2" t="s">
        <v>78</v>
      </c>
      <c r="G25" s="2">
        <v>38</v>
      </c>
      <c r="H25" s="4">
        <v>220</v>
      </c>
      <c r="I25" s="4">
        <v>77.353448275862078</v>
      </c>
      <c r="J25" s="4">
        <f>7.22866751155289*SQRT(3)</f>
        <v>12.520419401032088</v>
      </c>
      <c r="K25" s="2">
        <v>3</v>
      </c>
      <c r="L25" s="4">
        <v>109.79104477611939</v>
      </c>
      <c r="M25" s="4">
        <f>7.47537228360024*SQRT(3)</f>
        <v>12.947724600687797</v>
      </c>
      <c r="N25" s="2">
        <v>3</v>
      </c>
      <c r="O25" s="2" t="s">
        <v>75</v>
      </c>
      <c r="P25" s="2" t="s">
        <v>34</v>
      </c>
      <c r="R25" s="2" t="s">
        <v>73</v>
      </c>
      <c r="S25" s="2" t="s">
        <v>73</v>
      </c>
      <c r="T25" s="2" t="s">
        <v>73</v>
      </c>
      <c r="U25" s="2">
        <v>24</v>
      </c>
      <c r="W25" s="2">
        <v>12</v>
      </c>
      <c r="X25" s="2">
        <v>35</v>
      </c>
      <c r="Y25" s="2" t="s">
        <v>89</v>
      </c>
      <c r="Z25" s="2">
        <v>7</v>
      </c>
      <c r="AB25" s="2" t="s">
        <v>152</v>
      </c>
      <c r="AC25" s="2">
        <v>380</v>
      </c>
      <c r="AE25" s="2" t="s">
        <v>133</v>
      </c>
      <c r="AF25" s="2" t="s">
        <v>87</v>
      </c>
      <c r="AG25" s="2" t="s">
        <v>219</v>
      </c>
    </row>
    <row r="26" spans="1:33" x14ac:dyDescent="0.2">
      <c r="A26" s="2">
        <v>27</v>
      </c>
      <c r="B26" s="2" t="s">
        <v>218</v>
      </c>
      <c r="C26" s="2" t="s">
        <v>185</v>
      </c>
      <c r="D26" s="2" t="s">
        <v>92</v>
      </c>
      <c r="E26" s="2" t="s">
        <v>150</v>
      </c>
      <c r="F26" s="2" t="s">
        <v>80</v>
      </c>
      <c r="G26" s="2">
        <v>38</v>
      </c>
      <c r="H26" s="4">
        <v>220</v>
      </c>
      <c r="I26" s="4">
        <v>7.2246376811594208</v>
      </c>
      <c r="J26" s="4">
        <f>0.919832082751568*SQRT(3)</f>
        <v>1.5931959017576156</v>
      </c>
      <c r="K26" s="2">
        <v>3</v>
      </c>
      <c r="L26" s="4">
        <v>7.3781344032096285</v>
      </c>
      <c r="M26" s="4">
        <f>0.542305250790236*SQRT(3)</f>
        <v>0.93930024758007069</v>
      </c>
      <c r="N26" s="2">
        <v>3</v>
      </c>
      <c r="O26" s="2" t="s">
        <v>75</v>
      </c>
      <c r="P26" s="2" t="s">
        <v>34</v>
      </c>
      <c r="R26" s="2" t="s">
        <v>73</v>
      </c>
      <c r="S26" s="2" t="s">
        <v>73</v>
      </c>
      <c r="T26" s="2" t="s">
        <v>73</v>
      </c>
      <c r="U26" s="2">
        <v>24</v>
      </c>
      <c r="W26" s="2">
        <v>12</v>
      </c>
      <c r="X26" s="2">
        <v>35</v>
      </c>
      <c r="Y26" s="2" t="s">
        <v>89</v>
      </c>
      <c r="Z26" s="2">
        <v>7</v>
      </c>
      <c r="AB26" s="2" t="s">
        <v>152</v>
      </c>
      <c r="AC26" s="2">
        <v>380</v>
      </c>
      <c r="AE26" s="2" t="s">
        <v>133</v>
      </c>
      <c r="AF26" s="2" t="s">
        <v>87</v>
      </c>
      <c r="AG26" s="2" t="s">
        <v>219</v>
      </c>
    </row>
    <row r="27" spans="1:33" x14ac:dyDescent="0.2">
      <c r="A27" s="2">
        <v>28</v>
      </c>
      <c r="B27" s="2" t="s">
        <v>218</v>
      </c>
      <c r="C27" s="2" t="s">
        <v>185</v>
      </c>
      <c r="D27" s="2" t="s">
        <v>92</v>
      </c>
      <c r="E27" s="2" t="s">
        <v>150</v>
      </c>
      <c r="F27" s="2" t="s">
        <v>78</v>
      </c>
      <c r="G27" s="2">
        <v>38</v>
      </c>
      <c r="H27" s="4">
        <v>220</v>
      </c>
      <c r="I27" s="4">
        <v>63.736111111111121</v>
      </c>
      <c r="J27" s="4">
        <f>17.9672449928301*SQRT(3)</f>
        <v>31.120181199619239</v>
      </c>
      <c r="K27" s="2">
        <v>3</v>
      </c>
      <c r="L27" s="4">
        <v>98.276470588235298</v>
      </c>
      <c r="M27" s="4">
        <f>19.9740606252314*SQRT(3)</f>
        <v>34.596087836361754</v>
      </c>
      <c r="N27" s="2">
        <v>3</v>
      </c>
      <c r="O27" s="2" t="s">
        <v>75</v>
      </c>
      <c r="P27" s="2" t="s">
        <v>34</v>
      </c>
      <c r="R27" s="2" t="s">
        <v>73</v>
      </c>
      <c r="S27" s="2" t="s">
        <v>73</v>
      </c>
      <c r="T27" s="2" t="s">
        <v>73</v>
      </c>
      <c r="U27" s="2">
        <v>24</v>
      </c>
      <c r="W27" s="2">
        <v>12</v>
      </c>
      <c r="X27" s="2">
        <v>35</v>
      </c>
      <c r="Y27" s="2" t="s">
        <v>89</v>
      </c>
      <c r="Z27" s="2">
        <v>7</v>
      </c>
      <c r="AB27" s="2" t="s">
        <v>152</v>
      </c>
      <c r="AC27" s="2">
        <v>750</v>
      </c>
      <c r="AE27" s="2" t="s">
        <v>133</v>
      </c>
      <c r="AF27" s="2" t="s">
        <v>87</v>
      </c>
      <c r="AG27" s="2" t="s">
        <v>220</v>
      </c>
    </row>
    <row r="28" spans="1:33" x14ac:dyDescent="0.2">
      <c r="A28" s="2">
        <v>29</v>
      </c>
      <c r="B28" s="2" t="s">
        <v>218</v>
      </c>
      <c r="C28" s="2" t="s">
        <v>185</v>
      </c>
      <c r="D28" s="2" t="s">
        <v>92</v>
      </c>
      <c r="E28" s="2" t="s">
        <v>150</v>
      </c>
      <c r="F28" s="2" t="s">
        <v>80</v>
      </c>
      <c r="G28" s="2">
        <v>38</v>
      </c>
      <c r="H28" s="4">
        <v>220</v>
      </c>
      <c r="I28" s="4">
        <v>7.7451476793248952</v>
      </c>
      <c r="J28" s="4">
        <f>1.89242079074198*SQRT(3)</f>
        <v>3.2777689588647796</v>
      </c>
      <c r="K28" s="2">
        <v>3</v>
      </c>
      <c r="L28" s="4">
        <v>7.2702349869451703</v>
      </c>
      <c r="M28" s="4">
        <f>1.47924599979994*SQRT(3)</f>
        <v>2.5621292285465174</v>
      </c>
      <c r="N28" s="2">
        <v>3</v>
      </c>
      <c r="O28" s="2" t="s">
        <v>75</v>
      </c>
      <c r="P28" s="2" t="s">
        <v>34</v>
      </c>
      <c r="R28" s="2" t="s">
        <v>73</v>
      </c>
      <c r="S28" s="2" t="s">
        <v>73</v>
      </c>
      <c r="T28" s="2" t="s">
        <v>73</v>
      </c>
      <c r="U28" s="2">
        <v>24</v>
      </c>
      <c r="W28" s="2">
        <v>12</v>
      </c>
      <c r="X28" s="2">
        <v>35</v>
      </c>
      <c r="Y28" s="2" t="s">
        <v>89</v>
      </c>
      <c r="Z28" s="2">
        <v>7</v>
      </c>
      <c r="AB28" s="2" t="s">
        <v>152</v>
      </c>
      <c r="AC28" s="2">
        <v>750</v>
      </c>
      <c r="AE28" s="2" t="s">
        <v>133</v>
      </c>
      <c r="AF28" s="2" t="s">
        <v>87</v>
      </c>
      <c r="AG28" s="2" t="s">
        <v>220</v>
      </c>
    </row>
    <row r="29" spans="1:33" x14ac:dyDescent="0.2">
      <c r="A29" s="2">
        <v>30</v>
      </c>
      <c r="B29" s="2" t="s">
        <v>221</v>
      </c>
      <c r="C29" s="2" t="s">
        <v>222</v>
      </c>
      <c r="D29" s="2" t="s">
        <v>84</v>
      </c>
      <c r="E29" s="2" t="s">
        <v>85</v>
      </c>
      <c r="F29" s="2" t="s">
        <v>80</v>
      </c>
      <c r="G29" s="2">
        <v>10</v>
      </c>
      <c r="H29" s="4">
        <v>500</v>
      </c>
      <c r="I29" s="4">
        <v>2.9340000000000002</v>
      </c>
      <c r="J29" s="4">
        <v>0.19099999999999984</v>
      </c>
      <c r="K29" s="2">
        <v>3</v>
      </c>
      <c r="L29" s="4">
        <v>6.141</v>
      </c>
      <c r="M29" s="4">
        <v>0.57899999999999974</v>
      </c>
      <c r="N29" s="2">
        <v>3</v>
      </c>
      <c r="O29" s="2" t="s">
        <v>75</v>
      </c>
      <c r="P29" s="2" t="s">
        <v>616</v>
      </c>
      <c r="R29" s="2" t="s">
        <v>73</v>
      </c>
      <c r="S29" s="2" t="s">
        <v>73</v>
      </c>
      <c r="T29" s="2" t="s">
        <v>73</v>
      </c>
      <c r="U29" s="2">
        <v>20</v>
      </c>
      <c r="W29" s="2">
        <v>11</v>
      </c>
      <c r="Y29" s="2" t="s">
        <v>98</v>
      </c>
      <c r="AA29" s="2" t="s">
        <v>73</v>
      </c>
      <c r="AB29" s="2" t="s">
        <v>116</v>
      </c>
      <c r="AE29" s="2" t="s">
        <v>223</v>
      </c>
      <c r="AF29" s="2" t="s">
        <v>87</v>
      </c>
      <c r="AG29" s="2" t="s">
        <v>181</v>
      </c>
    </row>
    <row r="30" spans="1:33" x14ac:dyDescent="0.2">
      <c r="A30" s="2">
        <v>31</v>
      </c>
      <c r="B30" s="2" t="s">
        <v>221</v>
      </c>
      <c r="C30" s="2" t="s">
        <v>224</v>
      </c>
      <c r="D30" s="2" t="s">
        <v>84</v>
      </c>
      <c r="E30" s="2" t="s">
        <v>85</v>
      </c>
      <c r="F30" s="2" t="s">
        <v>80</v>
      </c>
      <c r="G30" s="2">
        <v>10</v>
      </c>
      <c r="H30" s="4">
        <v>100</v>
      </c>
      <c r="I30" s="4">
        <v>4.4630000000000001</v>
      </c>
      <c r="J30" s="4">
        <v>9.9999999999999645E-2</v>
      </c>
      <c r="K30" s="2">
        <v>3</v>
      </c>
      <c r="L30" s="4">
        <v>5.1429999999999998</v>
      </c>
      <c r="M30" s="4">
        <v>3.3000000000000362E-2</v>
      </c>
      <c r="N30" s="2">
        <v>3</v>
      </c>
      <c r="O30" s="2" t="s">
        <v>75</v>
      </c>
      <c r="P30" s="2" t="s">
        <v>616</v>
      </c>
      <c r="R30" s="2" t="s">
        <v>73</v>
      </c>
      <c r="S30" s="2" t="s">
        <v>73</v>
      </c>
      <c r="T30" s="2" t="s">
        <v>73</v>
      </c>
      <c r="U30" s="2">
        <v>20</v>
      </c>
      <c r="W30" s="2">
        <v>11</v>
      </c>
      <c r="Y30" s="2" t="s">
        <v>98</v>
      </c>
      <c r="AA30" s="2" t="s">
        <v>73</v>
      </c>
      <c r="AB30" s="2" t="s">
        <v>116</v>
      </c>
      <c r="AE30" s="2" t="s">
        <v>225</v>
      </c>
      <c r="AF30" s="2" t="s">
        <v>87</v>
      </c>
      <c r="AG30" s="2" t="s">
        <v>181</v>
      </c>
    </row>
    <row r="31" spans="1:33" x14ac:dyDescent="0.2">
      <c r="A31" s="2">
        <v>32</v>
      </c>
      <c r="B31" s="2" t="s">
        <v>229</v>
      </c>
      <c r="C31" s="2" t="s">
        <v>245</v>
      </c>
      <c r="D31" s="2" t="s">
        <v>84</v>
      </c>
      <c r="E31" s="2" t="s">
        <v>85</v>
      </c>
      <c r="F31" s="2" t="s">
        <v>80</v>
      </c>
      <c r="G31" s="2">
        <v>20</v>
      </c>
      <c r="H31" s="4">
        <v>200</v>
      </c>
      <c r="I31" s="4">
        <v>5.1879999999999997</v>
      </c>
      <c r="J31" s="4">
        <v>0.11777945491468453</v>
      </c>
      <c r="K31" s="2">
        <v>3</v>
      </c>
      <c r="L31" s="4">
        <v>4.5720000000000001</v>
      </c>
      <c r="M31" s="4">
        <v>0.14029611541307821</v>
      </c>
      <c r="N31" s="2">
        <v>3</v>
      </c>
      <c r="O31" s="2" t="s">
        <v>75</v>
      </c>
      <c r="P31" s="2" t="s">
        <v>616</v>
      </c>
      <c r="R31" s="2" t="s">
        <v>73</v>
      </c>
      <c r="S31" s="2" t="s">
        <v>73</v>
      </c>
      <c r="T31" s="2" t="s">
        <v>73</v>
      </c>
      <c r="U31" s="2">
        <v>4</v>
      </c>
      <c r="W31" s="2">
        <v>16</v>
      </c>
      <c r="X31" s="2">
        <v>35</v>
      </c>
      <c r="Y31" s="2" t="s">
        <v>98</v>
      </c>
      <c r="AB31" s="2" t="s">
        <v>116</v>
      </c>
      <c r="AC31" s="2">
        <v>192</v>
      </c>
      <c r="AD31" s="2">
        <v>1966</v>
      </c>
      <c r="AE31" s="2" t="s">
        <v>138</v>
      </c>
      <c r="AF31" s="2" t="s">
        <v>87</v>
      </c>
      <c r="AG31" s="2" t="s">
        <v>219</v>
      </c>
    </row>
    <row r="32" spans="1:33" x14ac:dyDescent="0.2">
      <c r="A32" s="2">
        <v>33</v>
      </c>
      <c r="B32" s="2" t="s">
        <v>229</v>
      </c>
      <c r="C32" s="2" t="s">
        <v>245</v>
      </c>
      <c r="D32" s="2" t="s">
        <v>84</v>
      </c>
      <c r="E32" s="2" t="s">
        <v>85</v>
      </c>
      <c r="F32" s="2" t="s">
        <v>80</v>
      </c>
      <c r="G32" s="2">
        <v>20</v>
      </c>
      <c r="H32" s="4">
        <v>200</v>
      </c>
      <c r="I32" s="4">
        <v>5.33</v>
      </c>
      <c r="J32" s="4">
        <v>0.18706148721743812</v>
      </c>
      <c r="K32" s="2">
        <v>3</v>
      </c>
      <c r="L32" s="4">
        <v>4.4649999999999999</v>
      </c>
      <c r="M32" s="4">
        <v>0.25807557032776274</v>
      </c>
      <c r="N32" s="2">
        <v>3</v>
      </c>
      <c r="O32" s="2" t="s">
        <v>75</v>
      </c>
      <c r="P32" s="2" t="s">
        <v>616</v>
      </c>
      <c r="R32" s="2" t="s">
        <v>73</v>
      </c>
      <c r="S32" s="2" t="s">
        <v>73</v>
      </c>
      <c r="T32" s="2" t="s">
        <v>73</v>
      </c>
      <c r="U32" s="2">
        <v>4</v>
      </c>
      <c r="W32" s="2">
        <v>16</v>
      </c>
      <c r="X32" s="2">
        <v>35</v>
      </c>
      <c r="Y32" s="2" t="s">
        <v>98</v>
      </c>
      <c r="AB32" s="2" t="s">
        <v>116</v>
      </c>
      <c r="AC32" s="2">
        <v>384</v>
      </c>
      <c r="AD32" s="2">
        <v>2082</v>
      </c>
      <c r="AE32" s="2" t="s">
        <v>138</v>
      </c>
      <c r="AF32" s="2" t="s">
        <v>87</v>
      </c>
      <c r="AG32" s="2" t="s">
        <v>230</v>
      </c>
    </row>
    <row r="33" spans="1:33" x14ac:dyDescent="0.2">
      <c r="A33" s="2">
        <v>34</v>
      </c>
      <c r="B33" s="2" t="s">
        <v>229</v>
      </c>
      <c r="C33" s="2" t="s">
        <v>246</v>
      </c>
      <c r="D33" s="2" t="s">
        <v>84</v>
      </c>
      <c r="E33" s="2" t="s">
        <v>85</v>
      </c>
      <c r="F33" s="2" t="s">
        <v>80</v>
      </c>
      <c r="G33" s="2">
        <v>200</v>
      </c>
      <c r="H33" s="4">
        <v>500</v>
      </c>
      <c r="I33" s="4">
        <v>5.5449999999999999</v>
      </c>
      <c r="J33" s="4">
        <v>0.11604740410711507</v>
      </c>
      <c r="K33" s="2">
        <v>3</v>
      </c>
      <c r="L33" s="4">
        <v>5.7969999999999997</v>
      </c>
      <c r="M33" s="4">
        <v>0.3741229744348778</v>
      </c>
      <c r="N33" s="2">
        <v>3</v>
      </c>
      <c r="O33" s="2" t="s">
        <v>75</v>
      </c>
      <c r="P33" s="2" t="s">
        <v>616</v>
      </c>
      <c r="R33" s="2" t="s">
        <v>73</v>
      </c>
      <c r="S33" s="2" t="s">
        <v>73</v>
      </c>
      <c r="T33" s="2" t="s">
        <v>73</v>
      </c>
      <c r="U33" s="2">
        <v>4</v>
      </c>
      <c r="W33" s="2">
        <v>16</v>
      </c>
      <c r="X33" s="2">
        <v>35</v>
      </c>
      <c r="Y33" s="2" t="s">
        <v>98</v>
      </c>
      <c r="AB33" s="2" t="s">
        <v>116</v>
      </c>
      <c r="AC33" s="2">
        <v>192</v>
      </c>
      <c r="AD33" s="2">
        <v>1966</v>
      </c>
      <c r="AE33" s="2" t="s">
        <v>138</v>
      </c>
      <c r="AF33" s="2" t="s">
        <v>87</v>
      </c>
      <c r="AG33" s="2" t="s">
        <v>219</v>
      </c>
    </row>
    <row r="34" spans="1:33" x14ac:dyDescent="0.2">
      <c r="A34" s="2">
        <v>35</v>
      </c>
      <c r="B34" s="2" t="s">
        <v>229</v>
      </c>
      <c r="C34" s="2" t="s">
        <v>246</v>
      </c>
      <c r="D34" s="2" t="s">
        <v>84</v>
      </c>
      <c r="E34" s="2" t="s">
        <v>85</v>
      </c>
      <c r="F34" s="2" t="s">
        <v>80</v>
      </c>
      <c r="G34" s="2">
        <v>20</v>
      </c>
      <c r="H34" s="4">
        <v>500</v>
      </c>
      <c r="I34" s="4">
        <v>5.0289999999999999</v>
      </c>
      <c r="J34" s="4">
        <v>2.3746416571769315</v>
      </c>
      <c r="K34" s="2">
        <v>3</v>
      </c>
      <c r="L34" s="4">
        <v>5.7530000000000001</v>
      </c>
      <c r="M34" s="4">
        <v>2.2516660498395232E-2</v>
      </c>
      <c r="N34" s="2">
        <v>3</v>
      </c>
      <c r="O34" s="2" t="s">
        <v>75</v>
      </c>
      <c r="P34" s="2" t="s">
        <v>616</v>
      </c>
      <c r="R34" s="2" t="s">
        <v>73</v>
      </c>
      <c r="S34" s="2" t="s">
        <v>73</v>
      </c>
      <c r="T34" s="2" t="s">
        <v>73</v>
      </c>
      <c r="U34" s="2">
        <v>4</v>
      </c>
      <c r="W34" s="2">
        <v>16</v>
      </c>
      <c r="X34" s="2">
        <v>35</v>
      </c>
      <c r="Y34" s="2" t="s">
        <v>98</v>
      </c>
      <c r="AB34" s="2" t="s">
        <v>116</v>
      </c>
      <c r="AC34" s="2">
        <v>384</v>
      </c>
      <c r="AD34" s="2">
        <v>2082</v>
      </c>
      <c r="AE34" s="2" t="s">
        <v>138</v>
      </c>
      <c r="AF34" s="2" t="s">
        <v>87</v>
      </c>
      <c r="AG34" s="2" t="s">
        <v>230</v>
      </c>
    </row>
    <row r="35" spans="1:33" x14ac:dyDescent="0.2">
      <c r="A35" s="2">
        <v>36</v>
      </c>
      <c r="B35" s="2" t="s">
        <v>229</v>
      </c>
      <c r="C35" s="2" t="s">
        <v>246</v>
      </c>
      <c r="D35" s="2" t="s">
        <v>84</v>
      </c>
      <c r="E35" s="2" t="s">
        <v>85</v>
      </c>
      <c r="F35" s="2" t="s">
        <v>80</v>
      </c>
      <c r="G35" s="2">
        <v>20</v>
      </c>
      <c r="H35" s="4">
        <v>500</v>
      </c>
      <c r="I35" s="4">
        <v>4.8760000000000003</v>
      </c>
      <c r="J35" s="4">
        <v>3.074390183434756</v>
      </c>
      <c r="K35" s="2">
        <v>3</v>
      </c>
      <c r="L35" s="4">
        <v>5.7919999999999998</v>
      </c>
      <c r="M35" s="4">
        <v>0.83831259086333654</v>
      </c>
      <c r="N35" s="2">
        <v>3</v>
      </c>
      <c r="O35" s="2" t="s">
        <v>75</v>
      </c>
      <c r="P35" s="2" t="s">
        <v>616</v>
      </c>
      <c r="R35" s="2" t="s">
        <v>73</v>
      </c>
      <c r="S35" s="2" t="s">
        <v>73</v>
      </c>
      <c r="T35" s="2" t="s">
        <v>73</v>
      </c>
      <c r="U35" s="2">
        <v>4</v>
      </c>
      <c r="W35" s="2">
        <v>16</v>
      </c>
      <c r="X35" s="2">
        <v>35</v>
      </c>
      <c r="Y35" s="2" t="s">
        <v>98</v>
      </c>
      <c r="AB35" s="2" t="s">
        <v>116</v>
      </c>
      <c r="AC35" s="2">
        <v>1003</v>
      </c>
      <c r="AD35" s="2">
        <v>2137</v>
      </c>
      <c r="AE35" s="2" t="s">
        <v>138</v>
      </c>
      <c r="AF35" s="2" t="s">
        <v>87</v>
      </c>
      <c r="AG35" s="2" t="s">
        <v>220</v>
      </c>
    </row>
    <row r="36" spans="1:33" x14ac:dyDescent="0.2">
      <c r="A36" s="2">
        <v>37</v>
      </c>
      <c r="B36" s="2" t="s">
        <v>247</v>
      </c>
      <c r="C36" s="2" t="s">
        <v>248</v>
      </c>
      <c r="D36" s="2" t="s">
        <v>121</v>
      </c>
      <c r="E36" s="2" t="s">
        <v>106</v>
      </c>
      <c r="F36" s="2" t="s">
        <v>80</v>
      </c>
      <c r="G36" s="2">
        <v>80</v>
      </c>
      <c r="H36" s="4">
        <v>240</v>
      </c>
      <c r="I36" s="4">
        <v>8.1999999999999993</v>
      </c>
      <c r="J36" s="4">
        <v>0.7</v>
      </c>
      <c r="K36" s="2">
        <v>6</v>
      </c>
      <c r="L36" s="4">
        <v>7.7</v>
      </c>
      <c r="M36" s="4">
        <v>0.8</v>
      </c>
      <c r="N36" s="2">
        <v>6</v>
      </c>
      <c r="O36" s="2" t="s">
        <v>75</v>
      </c>
      <c r="P36" s="2" t="s">
        <v>616</v>
      </c>
      <c r="R36" s="2" t="s">
        <v>73</v>
      </c>
      <c r="S36" s="2" t="s">
        <v>73</v>
      </c>
      <c r="T36" s="2" t="s">
        <v>73</v>
      </c>
      <c r="U36" s="2">
        <v>15</v>
      </c>
      <c r="W36" s="2">
        <v>16</v>
      </c>
      <c r="Y36" s="2" t="s">
        <v>98</v>
      </c>
      <c r="Z36" s="2">
        <v>8</v>
      </c>
      <c r="AB36" s="2" t="s">
        <v>116</v>
      </c>
      <c r="AC36" s="2">
        <v>190</v>
      </c>
      <c r="AE36" s="2" t="s">
        <v>94</v>
      </c>
      <c r="AF36" s="2" t="s">
        <v>73</v>
      </c>
      <c r="AG36" s="2" t="s">
        <v>251</v>
      </c>
    </row>
    <row r="37" spans="1:33" x14ac:dyDescent="0.2">
      <c r="A37" s="2">
        <v>38</v>
      </c>
      <c r="B37" s="2" t="s">
        <v>247</v>
      </c>
      <c r="C37" s="2" t="s">
        <v>248</v>
      </c>
      <c r="D37" s="2" t="s">
        <v>121</v>
      </c>
      <c r="E37" s="2" t="s">
        <v>106</v>
      </c>
      <c r="F37" s="2" t="s">
        <v>80</v>
      </c>
      <c r="G37" s="2">
        <v>80</v>
      </c>
      <c r="H37" s="4">
        <v>240</v>
      </c>
      <c r="I37" s="4">
        <v>8</v>
      </c>
      <c r="J37" s="4">
        <v>0.7</v>
      </c>
      <c r="K37" s="2">
        <v>6</v>
      </c>
      <c r="L37" s="4">
        <v>8.1999999999999993</v>
      </c>
      <c r="M37" s="4">
        <v>0.7</v>
      </c>
      <c r="N37" s="2">
        <v>6</v>
      </c>
      <c r="O37" s="2" t="s">
        <v>75</v>
      </c>
      <c r="P37" s="2" t="s">
        <v>616</v>
      </c>
      <c r="R37" s="2" t="s">
        <v>73</v>
      </c>
      <c r="S37" s="2" t="s">
        <v>73</v>
      </c>
      <c r="T37" s="2" t="s">
        <v>73</v>
      </c>
      <c r="U37" s="2">
        <v>15</v>
      </c>
      <c r="W37" s="2">
        <v>16</v>
      </c>
      <c r="Y37" s="2" t="s">
        <v>98</v>
      </c>
      <c r="Z37" s="2">
        <v>8</v>
      </c>
      <c r="AB37" s="2" t="s">
        <v>116</v>
      </c>
      <c r="AC37" s="2">
        <v>380</v>
      </c>
      <c r="AE37" s="2" t="s">
        <v>94</v>
      </c>
      <c r="AF37" s="2" t="s">
        <v>73</v>
      </c>
      <c r="AG37" s="2" t="s">
        <v>249</v>
      </c>
    </row>
    <row r="38" spans="1:33" x14ac:dyDescent="0.2">
      <c r="A38" s="2">
        <v>39</v>
      </c>
      <c r="B38" s="2" t="s">
        <v>282</v>
      </c>
      <c r="C38" s="2" t="s">
        <v>255</v>
      </c>
      <c r="D38" s="2" t="s">
        <v>92</v>
      </c>
      <c r="E38" s="2" t="s">
        <v>150</v>
      </c>
      <c r="F38" s="2" t="s">
        <v>78</v>
      </c>
      <c r="G38" s="2">
        <v>50</v>
      </c>
      <c r="H38" s="4">
        <v>200</v>
      </c>
      <c r="I38" s="4">
        <v>51.917808219178085</v>
      </c>
      <c r="J38" s="4">
        <v>6.518477909490211</v>
      </c>
      <c r="K38" s="2">
        <v>3</v>
      </c>
      <c r="L38" s="4">
        <v>65.714285714285708</v>
      </c>
      <c r="M38" s="4">
        <v>14.694160994998619</v>
      </c>
      <c r="N38" s="2">
        <v>3</v>
      </c>
      <c r="O38" s="2" t="s">
        <v>95</v>
      </c>
      <c r="P38" s="2" t="s">
        <v>616</v>
      </c>
      <c r="R38" s="2" t="s">
        <v>73</v>
      </c>
      <c r="S38" s="2" t="s">
        <v>73</v>
      </c>
      <c r="T38" s="2" t="s">
        <v>73</v>
      </c>
      <c r="U38" s="2">
        <v>25</v>
      </c>
      <c r="W38" s="2">
        <v>12</v>
      </c>
      <c r="Y38" s="2" t="s">
        <v>89</v>
      </c>
      <c r="Z38" s="2">
        <v>10</v>
      </c>
      <c r="AB38" s="2" t="s">
        <v>152</v>
      </c>
      <c r="AC38" s="2">
        <v>150</v>
      </c>
      <c r="AD38" s="2">
        <v>1841</v>
      </c>
      <c r="AE38" s="2" t="s">
        <v>142</v>
      </c>
      <c r="AF38" s="2" t="s">
        <v>73</v>
      </c>
      <c r="AG38" s="2" t="s">
        <v>283</v>
      </c>
    </row>
    <row r="39" spans="1:33" x14ac:dyDescent="0.2">
      <c r="A39" s="2">
        <v>40</v>
      </c>
      <c r="B39" s="2" t="s">
        <v>282</v>
      </c>
      <c r="C39" s="2" t="s">
        <v>255</v>
      </c>
      <c r="D39" s="2" t="s">
        <v>92</v>
      </c>
      <c r="E39" s="2" t="s">
        <v>150</v>
      </c>
      <c r="F39" s="2" t="s">
        <v>80</v>
      </c>
      <c r="G39" s="2">
        <v>50</v>
      </c>
      <c r="H39" s="4">
        <v>200</v>
      </c>
      <c r="I39" s="4">
        <v>6.4237288135593227</v>
      </c>
      <c r="J39" s="4">
        <v>0.36049481890712748</v>
      </c>
      <c r="K39" s="2">
        <v>3</v>
      </c>
      <c r="L39" s="4">
        <v>5.3488372093023253</v>
      </c>
      <c r="M39" s="4">
        <v>0.73052910282444239</v>
      </c>
      <c r="N39" s="2">
        <v>3</v>
      </c>
      <c r="O39" s="2" t="s">
        <v>95</v>
      </c>
      <c r="P39" s="2" t="s">
        <v>616</v>
      </c>
      <c r="R39" s="2" t="s">
        <v>73</v>
      </c>
      <c r="S39" s="2" t="s">
        <v>73</v>
      </c>
      <c r="T39" s="2" t="s">
        <v>73</v>
      </c>
      <c r="U39" s="2">
        <v>25</v>
      </c>
      <c r="W39" s="2">
        <v>12</v>
      </c>
      <c r="Y39" s="2" t="s">
        <v>89</v>
      </c>
      <c r="Z39" s="2">
        <v>10</v>
      </c>
      <c r="AB39" s="2" t="s">
        <v>152</v>
      </c>
      <c r="AC39" s="2">
        <v>150</v>
      </c>
      <c r="AD39" s="2">
        <v>1841</v>
      </c>
      <c r="AE39" s="2" t="s">
        <v>142</v>
      </c>
      <c r="AF39" s="2" t="s">
        <v>73</v>
      </c>
      <c r="AG39" s="2" t="s">
        <v>283</v>
      </c>
    </row>
    <row r="40" spans="1:33" x14ac:dyDescent="0.2">
      <c r="A40" s="2">
        <v>41</v>
      </c>
      <c r="B40" s="2" t="s">
        <v>282</v>
      </c>
      <c r="C40" s="2" t="s">
        <v>255</v>
      </c>
      <c r="D40" s="2" t="s">
        <v>92</v>
      </c>
      <c r="E40" s="2" t="s">
        <v>150</v>
      </c>
      <c r="F40" s="2" t="s">
        <v>78</v>
      </c>
      <c r="G40" s="2">
        <v>50</v>
      </c>
      <c r="H40" s="4">
        <v>200</v>
      </c>
      <c r="I40" s="4">
        <v>57.820512820512818</v>
      </c>
      <c r="J40" s="4">
        <v>7.1943544316725401</v>
      </c>
      <c r="K40" s="2">
        <v>3</v>
      </c>
      <c r="L40" s="4">
        <v>70.704225352112672</v>
      </c>
      <c r="M40" s="4">
        <v>8.9620571579706549</v>
      </c>
      <c r="N40" s="2">
        <v>3</v>
      </c>
      <c r="O40" s="2" t="s">
        <v>95</v>
      </c>
      <c r="P40" s="2" t="s">
        <v>616</v>
      </c>
      <c r="R40" s="2" t="s">
        <v>73</v>
      </c>
      <c r="S40" s="2" t="s">
        <v>73</v>
      </c>
      <c r="T40" s="2" t="s">
        <v>73</v>
      </c>
      <c r="U40" s="2">
        <v>25</v>
      </c>
      <c r="W40" s="2">
        <v>12</v>
      </c>
      <c r="Y40" s="2" t="s">
        <v>89</v>
      </c>
      <c r="Z40" s="2">
        <v>10</v>
      </c>
      <c r="AB40" s="2" t="s">
        <v>152</v>
      </c>
      <c r="AC40" s="2">
        <v>900</v>
      </c>
      <c r="AD40" s="2">
        <v>2240</v>
      </c>
      <c r="AE40" s="2" t="s">
        <v>142</v>
      </c>
      <c r="AF40" s="2" t="s">
        <v>73</v>
      </c>
      <c r="AG40" s="2" t="s">
        <v>284</v>
      </c>
    </row>
    <row r="41" spans="1:33" x14ac:dyDescent="0.2">
      <c r="A41" s="2">
        <v>42</v>
      </c>
      <c r="B41" s="2" t="s">
        <v>282</v>
      </c>
      <c r="C41" s="2" t="s">
        <v>255</v>
      </c>
      <c r="D41" s="2" t="s">
        <v>92</v>
      </c>
      <c r="E41" s="2" t="s">
        <v>150</v>
      </c>
      <c r="F41" s="2" t="s">
        <v>80</v>
      </c>
      <c r="G41" s="2">
        <v>50</v>
      </c>
      <c r="H41" s="4">
        <v>200</v>
      </c>
      <c r="I41" s="4">
        <v>5.125</v>
      </c>
      <c r="J41" s="4">
        <v>0.42314289502180941</v>
      </c>
      <c r="K41" s="2">
        <v>3</v>
      </c>
      <c r="L41" s="4">
        <v>4.8269230769230766</v>
      </c>
      <c r="M41" s="4">
        <v>0.68911081449069844</v>
      </c>
      <c r="N41" s="2">
        <v>3</v>
      </c>
      <c r="O41" s="2" t="s">
        <v>95</v>
      </c>
      <c r="P41" s="2" t="s">
        <v>616</v>
      </c>
      <c r="R41" s="2" t="s">
        <v>73</v>
      </c>
      <c r="S41" s="2" t="s">
        <v>73</v>
      </c>
      <c r="T41" s="2" t="s">
        <v>73</v>
      </c>
      <c r="U41" s="2">
        <v>25</v>
      </c>
      <c r="W41" s="2">
        <v>12</v>
      </c>
      <c r="Y41" s="2" t="s">
        <v>89</v>
      </c>
      <c r="Z41" s="2">
        <v>10</v>
      </c>
      <c r="AB41" s="2" t="s">
        <v>152</v>
      </c>
      <c r="AC41" s="2">
        <v>900</v>
      </c>
      <c r="AD41" s="2">
        <v>2240</v>
      </c>
      <c r="AE41" s="2" t="s">
        <v>142</v>
      </c>
      <c r="AF41" s="2" t="s">
        <v>73</v>
      </c>
      <c r="AG41" s="2" t="s">
        <v>284</v>
      </c>
    </row>
    <row r="42" spans="1:33" x14ac:dyDescent="0.2">
      <c r="A42" s="2">
        <v>43</v>
      </c>
      <c r="B42" s="2" t="s">
        <v>290</v>
      </c>
      <c r="C42" s="2" t="s">
        <v>291</v>
      </c>
      <c r="D42" s="2" t="s">
        <v>92</v>
      </c>
      <c r="E42" s="2" t="s">
        <v>93</v>
      </c>
      <c r="F42" s="2" t="s">
        <v>80</v>
      </c>
      <c r="G42" s="10">
        <v>26</v>
      </c>
      <c r="H42" s="4">
        <v>110</v>
      </c>
      <c r="I42" s="4">
        <v>11.878</v>
      </c>
      <c r="J42" s="4">
        <v>1.0670000000000002</v>
      </c>
      <c r="K42" s="2">
        <v>3</v>
      </c>
      <c r="L42" s="4">
        <v>10.532</v>
      </c>
      <c r="M42" s="4">
        <v>0.20700000000000074</v>
      </c>
      <c r="N42" s="2">
        <v>3</v>
      </c>
      <c r="O42" s="2" t="s">
        <v>95</v>
      </c>
      <c r="P42" s="2" t="s">
        <v>616</v>
      </c>
      <c r="R42" s="2" t="s">
        <v>73</v>
      </c>
      <c r="S42" s="2" t="s">
        <v>73</v>
      </c>
      <c r="T42" s="2" t="s">
        <v>87</v>
      </c>
      <c r="U42" s="2">
        <v>23</v>
      </c>
      <c r="W42" s="2">
        <v>24</v>
      </c>
      <c r="Y42" s="2" t="s">
        <v>89</v>
      </c>
      <c r="AB42" s="2" t="s">
        <v>116</v>
      </c>
      <c r="AE42" s="2" t="s">
        <v>123</v>
      </c>
      <c r="AF42" s="2" t="s">
        <v>87</v>
      </c>
      <c r="AG42" s="2" t="s">
        <v>298</v>
      </c>
    </row>
    <row r="43" spans="1:33" x14ac:dyDescent="0.2">
      <c r="A43" s="2">
        <v>44</v>
      </c>
      <c r="B43" s="2" t="s">
        <v>290</v>
      </c>
      <c r="C43" s="2" t="s">
        <v>291</v>
      </c>
      <c r="D43" s="2" t="s">
        <v>92</v>
      </c>
      <c r="E43" s="2" t="s">
        <v>93</v>
      </c>
      <c r="F43" s="2" t="s">
        <v>80</v>
      </c>
      <c r="G43" s="10">
        <v>26</v>
      </c>
      <c r="H43" s="4">
        <v>110</v>
      </c>
      <c r="I43" s="4">
        <v>6.7850000000000001</v>
      </c>
      <c r="J43" s="4">
        <v>1.1029999999999998</v>
      </c>
      <c r="K43" s="2">
        <v>3</v>
      </c>
      <c r="L43" s="4">
        <v>12.109</v>
      </c>
      <c r="M43" s="4">
        <v>0.2840000000000007</v>
      </c>
      <c r="N43" s="2">
        <v>3</v>
      </c>
      <c r="O43" s="2" t="s">
        <v>95</v>
      </c>
      <c r="P43" s="2" t="s">
        <v>616</v>
      </c>
      <c r="R43" s="2" t="s">
        <v>73</v>
      </c>
      <c r="S43" s="2" t="s">
        <v>73</v>
      </c>
      <c r="T43" s="2" t="s">
        <v>87</v>
      </c>
      <c r="U43" s="2">
        <v>23</v>
      </c>
      <c r="W43" s="2">
        <v>24</v>
      </c>
      <c r="Y43" s="2" t="s">
        <v>89</v>
      </c>
      <c r="AB43" s="2" t="s">
        <v>117</v>
      </c>
      <c r="AE43" s="2" t="s">
        <v>123</v>
      </c>
      <c r="AF43" s="2" t="s">
        <v>87</v>
      </c>
      <c r="AG43" s="2" t="s">
        <v>299</v>
      </c>
    </row>
    <row r="44" spans="1:33" x14ac:dyDescent="0.2">
      <c r="A44" s="2">
        <v>45</v>
      </c>
      <c r="B44" s="2" t="s">
        <v>311</v>
      </c>
      <c r="C44" s="2" t="s">
        <v>312</v>
      </c>
      <c r="D44" s="2" t="s">
        <v>84</v>
      </c>
      <c r="E44" s="2" t="s">
        <v>85</v>
      </c>
      <c r="F44" s="2" t="s">
        <v>80</v>
      </c>
      <c r="G44" s="2">
        <v>50</v>
      </c>
      <c r="H44" s="4">
        <v>600</v>
      </c>
      <c r="I44" s="4">
        <v>13.3</v>
      </c>
      <c r="J44" s="4">
        <v>1.2</v>
      </c>
      <c r="K44" s="6">
        <v>4</v>
      </c>
      <c r="L44" s="4">
        <v>20.6</v>
      </c>
      <c r="M44" s="4">
        <v>0.9</v>
      </c>
      <c r="N44" s="2">
        <v>4</v>
      </c>
      <c r="O44" s="2" t="s">
        <v>95</v>
      </c>
      <c r="P44" s="2" t="s">
        <v>34</v>
      </c>
      <c r="R44" s="2" t="s">
        <v>87</v>
      </c>
      <c r="S44" s="2" t="s">
        <v>87</v>
      </c>
      <c r="T44" s="2" t="s">
        <v>73</v>
      </c>
      <c r="U44" s="2">
        <v>25</v>
      </c>
      <c r="W44" s="2">
        <v>14</v>
      </c>
      <c r="Y44" s="2" t="s">
        <v>98</v>
      </c>
      <c r="AB44" s="2" t="s">
        <v>116</v>
      </c>
      <c r="AE44" s="2" t="s">
        <v>142</v>
      </c>
      <c r="AF44" s="2" t="s">
        <v>73</v>
      </c>
      <c r="AG44" s="2" t="s">
        <v>313</v>
      </c>
    </row>
    <row r="45" spans="1:33" x14ac:dyDescent="0.2">
      <c r="A45" s="2">
        <v>46</v>
      </c>
      <c r="B45" s="2" t="s">
        <v>311</v>
      </c>
      <c r="C45" s="2" t="s">
        <v>312</v>
      </c>
      <c r="D45" s="2" t="s">
        <v>84</v>
      </c>
      <c r="E45" s="2" t="s">
        <v>85</v>
      </c>
      <c r="F45" s="2" t="s">
        <v>80</v>
      </c>
      <c r="G45" s="2">
        <v>50</v>
      </c>
      <c r="H45" s="4">
        <v>600</v>
      </c>
      <c r="I45" s="4">
        <v>11.2</v>
      </c>
      <c r="J45" s="4">
        <v>2.6</v>
      </c>
      <c r="K45" s="6">
        <v>4</v>
      </c>
      <c r="L45" s="4">
        <v>19.899999999999999</v>
      </c>
      <c r="M45" s="4">
        <v>0.6</v>
      </c>
      <c r="N45" s="2">
        <v>4</v>
      </c>
      <c r="O45" s="2" t="s">
        <v>95</v>
      </c>
      <c r="P45" s="2" t="s">
        <v>34</v>
      </c>
      <c r="R45" s="2" t="s">
        <v>87</v>
      </c>
      <c r="S45" s="2" t="s">
        <v>87</v>
      </c>
      <c r="T45" s="2" t="s">
        <v>73</v>
      </c>
      <c r="U45" s="2">
        <v>25</v>
      </c>
      <c r="W45" s="2">
        <v>14</v>
      </c>
      <c r="Y45" s="2" t="s">
        <v>98</v>
      </c>
      <c r="AB45" s="2" t="s">
        <v>116</v>
      </c>
      <c r="AE45" s="2" t="s">
        <v>142</v>
      </c>
      <c r="AF45" s="2" t="s">
        <v>73</v>
      </c>
      <c r="AG45" s="2" t="s">
        <v>314</v>
      </c>
    </row>
    <row r="46" spans="1:33" x14ac:dyDescent="0.2">
      <c r="A46" s="2">
        <v>47</v>
      </c>
      <c r="B46" s="2" t="s">
        <v>311</v>
      </c>
      <c r="C46" s="2" t="s">
        <v>312</v>
      </c>
      <c r="D46" s="2" t="s">
        <v>84</v>
      </c>
      <c r="E46" s="2" t="s">
        <v>85</v>
      </c>
      <c r="F46" s="2" t="s">
        <v>80</v>
      </c>
      <c r="G46" s="2">
        <v>50</v>
      </c>
      <c r="H46" s="4">
        <v>600</v>
      </c>
      <c r="I46" s="4">
        <v>6.7</v>
      </c>
      <c r="J46" s="4">
        <v>0.6</v>
      </c>
      <c r="K46" s="6">
        <v>4</v>
      </c>
      <c r="L46" s="4">
        <v>6.8</v>
      </c>
      <c r="M46" s="4">
        <v>0.6</v>
      </c>
      <c r="N46" s="2">
        <v>4</v>
      </c>
      <c r="O46" s="2" t="s">
        <v>95</v>
      </c>
      <c r="P46" s="2" t="s">
        <v>34</v>
      </c>
      <c r="R46" s="2" t="s">
        <v>73</v>
      </c>
      <c r="S46" s="2" t="s">
        <v>73</v>
      </c>
      <c r="T46" s="2" t="s">
        <v>73</v>
      </c>
      <c r="U46" s="2">
        <v>25</v>
      </c>
      <c r="W46" s="2">
        <v>14</v>
      </c>
      <c r="Y46" s="2" t="s">
        <v>98</v>
      </c>
      <c r="AB46" s="2" t="s">
        <v>116</v>
      </c>
      <c r="AE46" s="2" t="s">
        <v>142</v>
      </c>
      <c r="AF46" s="2" t="s">
        <v>73</v>
      </c>
      <c r="AG46" s="2" t="s">
        <v>315</v>
      </c>
    </row>
    <row r="47" spans="1:33" x14ac:dyDescent="0.2">
      <c r="A47" s="2">
        <v>48</v>
      </c>
      <c r="B47" s="2" t="s">
        <v>311</v>
      </c>
      <c r="C47" s="2" t="s">
        <v>312</v>
      </c>
      <c r="D47" s="2" t="s">
        <v>84</v>
      </c>
      <c r="E47" s="2" t="s">
        <v>85</v>
      </c>
      <c r="F47" s="2" t="s">
        <v>80</v>
      </c>
      <c r="G47" s="2">
        <v>50</v>
      </c>
      <c r="H47" s="4">
        <v>600</v>
      </c>
      <c r="I47" s="4">
        <v>5.7</v>
      </c>
      <c r="J47" s="4">
        <v>1.5</v>
      </c>
      <c r="K47" s="6">
        <v>4</v>
      </c>
      <c r="L47" s="4">
        <v>5.9</v>
      </c>
      <c r="M47" s="4">
        <v>0.3</v>
      </c>
      <c r="N47" s="2">
        <v>4</v>
      </c>
      <c r="O47" s="2" t="s">
        <v>95</v>
      </c>
      <c r="P47" s="2" t="s">
        <v>34</v>
      </c>
      <c r="R47" s="2" t="s">
        <v>73</v>
      </c>
      <c r="S47" s="2" t="s">
        <v>73</v>
      </c>
      <c r="T47" s="2" t="s">
        <v>73</v>
      </c>
      <c r="U47" s="2">
        <v>25</v>
      </c>
      <c r="W47" s="2">
        <v>14</v>
      </c>
      <c r="Y47" s="2" t="s">
        <v>98</v>
      </c>
      <c r="AB47" s="2" t="s">
        <v>116</v>
      </c>
      <c r="AE47" s="2" t="s">
        <v>142</v>
      </c>
      <c r="AF47" s="2" t="s">
        <v>73</v>
      </c>
      <c r="AG47" s="2" t="s">
        <v>315</v>
      </c>
    </row>
    <row r="48" spans="1:33" x14ac:dyDescent="0.2">
      <c r="A48" s="2">
        <v>49</v>
      </c>
      <c r="B48" s="2" t="s">
        <v>316</v>
      </c>
      <c r="C48" s="2" t="s">
        <v>312</v>
      </c>
      <c r="D48" s="2" t="s">
        <v>84</v>
      </c>
      <c r="E48" s="2" t="s">
        <v>85</v>
      </c>
      <c r="F48" s="2" t="s">
        <v>78</v>
      </c>
      <c r="G48" s="2">
        <v>50</v>
      </c>
      <c r="H48" s="2">
        <v>700</v>
      </c>
      <c r="I48" s="4">
        <v>465.803</v>
      </c>
      <c r="J48" s="4">
        <v>32.062999999999988</v>
      </c>
      <c r="K48" s="6">
        <v>3</v>
      </c>
      <c r="L48" s="4">
        <v>523.87300000000005</v>
      </c>
      <c r="M48" s="4">
        <v>70.774000000000001</v>
      </c>
      <c r="N48" s="2">
        <v>3</v>
      </c>
      <c r="O48" s="2" t="s">
        <v>141</v>
      </c>
      <c r="Q48" s="2">
        <v>0.3</v>
      </c>
      <c r="R48" s="2" t="s">
        <v>87</v>
      </c>
      <c r="S48" s="2" t="s">
        <v>73</v>
      </c>
      <c r="T48" s="2" t="s">
        <v>73</v>
      </c>
      <c r="U48" s="2">
        <v>25</v>
      </c>
      <c r="W48" s="2">
        <v>14</v>
      </c>
      <c r="Y48" s="2" t="s">
        <v>98</v>
      </c>
      <c r="AB48" s="2" t="s">
        <v>116</v>
      </c>
      <c r="AE48" s="2" t="s">
        <v>123</v>
      </c>
      <c r="AF48" s="2" t="s">
        <v>87</v>
      </c>
      <c r="AG48" s="2" t="s">
        <v>552</v>
      </c>
    </row>
    <row r="49" spans="1:33" x14ac:dyDescent="0.2">
      <c r="A49" s="2">
        <v>50</v>
      </c>
      <c r="B49" s="2" t="s">
        <v>316</v>
      </c>
      <c r="C49" s="2" t="s">
        <v>312</v>
      </c>
      <c r="D49" s="2" t="s">
        <v>84</v>
      </c>
      <c r="E49" s="2" t="s">
        <v>85</v>
      </c>
      <c r="F49" s="2" t="s">
        <v>80</v>
      </c>
      <c r="G49" s="2">
        <v>50</v>
      </c>
      <c r="H49" s="2">
        <v>700</v>
      </c>
      <c r="I49" s="4">
        <v>6.2720000000000002</v>
      </c>
      <c r="J49" s="4">
        <v>0.37899999999999956</v>
      </c>
      <c r="K49" s="6">
        <v>3</v>
      </c>
      <c r="L49" s="4">
        <v>9.7409999999999997</v>
      </c>
      <c r="M49" s="4">
        <v>0.85400000000000098</v>
      </c>
      <c r="N49" s="2">
        <v>3</v>
      </c>
      <c r="O49" s="2" t="s">
        <v>141</v>
      </c>
      <c r="Q49" s="2">
        <v>0.3</v>
      </c>
      <c r="R49" s="2" t="s">
        <v>87</v>
      </c>
      <c r="S49" s="2" t="s">
        <v>73</v>
      </c>
      <c r="T49" s="2" t="s">
        <v>73</v>
      </c>
      <c r="U49" s="2">
        <v>25</v>
      </c>
      <c r="W49" s="2">
        <v>14</v>
      </c>
      <c r="Y49" s="2" t="s">
        <v>98</v>
      </c>
      <c r="AB49" s="2" t="s">
        <v>116</v>
      </c>
      <c r="AE49" s="2" t="s">
        <v>123</v>
      </c>
      <c r="AF49" s="2" t="s">
        <v>87</v>
      </c>
      <c r="AG49" s="2" t="s">
        <v>552</v>
      </c>
    </row>
    <row r="50" spans="1:33" x14ac:dyDescent="0.2">
      <c r="A50" s="2">
        <v>51</v>
      </c>
      <c r="B50" s="2" t="s">
        <v>316</v>
      </c>
      <c r="C50" s="2" t="s">
        <v>312</v>
      </c>
      <c r="D50" s="2" t="s">
        <v>84</v>
      </c>
      <c r="E50" s="2" t="s">
        <v>85</v>
      </c>
      <c r="F50" s="2" t="s">
        <v>78</v>
      </c>
      <c r="G50" s="2">
        <v>50</v>
      </c>
      <c r="H50" s="2">
        <v>700</v>
      </c>
      <c r="I50" s="4">
        <v>592.69899999999996</v>
      </c>
      <c r="J50" s="4">
        <v>28.752000000000066</v>
      </c>
      <c r="K50" s="6">
        <v>3</v>
      </c>
      <c r="L50" s="4">
        <v>670.22400000000005</v>
      </c>
      <c r="M50" s="4">
        <v>60.769000000000005</v>
      </c>
      <c r="N50" s="2">
        <v>3</v>
      </c>
      <c r="O50" s="2" t="s">
        <v>141</v>
      </c>
      <c r="Q50" s="2">
        <v>0.3</v>
      </c>
      <c r="R50" s="2" t="s">
        <v>87</v>
      </c>
      <c r="S50" s="2" t="s">
        <v>73</v>
      </c>
      <c r="T50" s="2" t="s">
        <v>73</v>
      </c>
      <c r="U50" s="2">
        <v>25</v>
      </c>
      <c r="W50" s="2">
        <v>14</v>
      </c>
      <c r="Y50" s="2" t="s">
        <v>98</v>
      </c>
      <c r="AB50" s="2" t="s">
        <v>116</v>
      </c>
      <c r="AE50" s="2" t="s">
        <v>123</v>
      </c>
      <c r="AF50" s="2" t="s">
        <v>87</v>
      </c>
      <c r="AG50" s="2" t="s">
        <v>553</v>
      </c>
    </row>
    <row r="51" spans="1:33" x14ac:dyDescent="0.2">
      <c r="A51" s="2">
        <v>52</v>
      </c>
      <c r="B51" s="2" t="s">
        <v>316</v>
      </c>
      <c r="C51" s="2" t="s">
        <v>312</v>
      </c>
      <c r="D51" s="2" t="s">
        <v>84</v>
      </c>
      <c r="E51" s="2" t="s">
        <v>85</v>
      </c>
      <c r="F51" s="2" t="s">
        <v>80</v>
      </c>
      <c r="G51" s="2">
        <v>50</v>
      </c>
      <c r="H51" s="2">
        <v>700</v>
      </c>
      <c r="I51" s="4">
        <v>7.11</v>
      </c>
      <c r="J51" s="4">
        <v>0.67999999999999972</v>
      </c>
      <c r="K51" s="6">
        <v>3</v>
      </c>
      <c r="L51" s="4">
        <v>10.760999999999999</v>
      </c>
      <c r="M51" s="4">
        <v>0.14400000000000013</v>
      </c>
      <c r="N51" s="2">
        <v>3</v>
      </c>
      <c r="O51" s="2" t="s">
        <v>141</v>
      </c>
      <c r="Q51" s="2">
        <v>0.3</v>
      </c>
      <c r="R51" s="2" t="s">
        <v>87</v>
      </c>
      <c r="S51" s="2" t="s">
        <v>73</v>
      </c>
      <c r="T51" s="2" t="s">
        <v>73</v>
      </c>
      <c r="U51" s="2">
        <v>25</v>
      </c>
      <c r="W51" s="2">
        <v>14</v>
      </c>
      <c r="Y51" s="2" t="s">
        <v>98</v>
      </c>
      <c r="AB51" s="2" t="s">
        <v>116</v>
      </c>
      <c r="AE51" s="2" t="s">
        <v>123</v>
      </c>
      <c r="AF51" s="2" t="s">
        <v>87</v>
      </c>
      <c r="AG51" s="2" t="s">
        <v>553</v>
      </c>
    </row>
    <row r="52" spans="1:33" x14ac:dyDescent="0.2">
      <c r="A52" s="2">
        <v>53</v>
      </c>
      <c r="B52" s="2" t="s">
        <v>317</v>
      </c>
      <c r="C52" s="2" t="s">
        <v>318</v>
      </c>
      <c r="D52" s="2" t="s">
        <v>105</v>
      </c>
      <c r="E52" s="2" t="s">
        <v>106</v>
      </c>
      <c r="F52" s="2" t="s">
        <v>78</v>
      </c>
      <c r="G52" s="2">
        <v>50</v>
      </c>
      <c r="H52" s="4">
        <v>500</v>
      </c>
      <c r="I52" s="4">
        <v>296.28399999999999</v>
      </c>
      <c r="J52" s="4">
        <v>24.173000000000002</v>
      </c>
      <c r="K52" s="6">
        <v>4</v>
      </c>
      <c r="L52" s="4">
        <v>430.47199999999998</v>
      </c>
      <c r="M52" s="4">
        <v>89.725999999999999</v>
      </c>
      <c r="N52" s="2">
        <v>4</v>
      </c>
      <c r="O52" s="2" t="s">
        <v>141</v>
      </c>
      <c r="Q52" s="2">
        <v>0.25</v>
      </c>
      <c r="R52" s="2" t="s">
        <v>73</v>
      </c>
      <c r="S52" s="2" t="s">
        <v>87</v>
      </c>
      <c r="T52" s="2" t="s">
        <v>73</v>
      </c>
      <c r="U52" s="2">
        <v>25</v>
      </c>
      <c r="W52" s="2">
        <v>14</v>
      </c>
      <c r="Y52" s="2" t="s">
        <v>98</v>
      </c>
      <c r="AB52" s="2" t="s">
        <v>116</v>
      </c>
      <c r="AE52" s="2" t="s">
        <v>123</v>
      </c>
      <c r="AF52" s="2" t="s">
        <v>87</v>
      </c>
      <c r="AG52" s="2" t="s">
        <v>319</v>
      </c>
    </row>
    <row r="53" spans="1:33" x14ac:dyDescent="0.2">
      <c r="A53" s="2">
        <v>54</v>
      </c>
      <c r="B53" s="2" t="s">
        <v>317</v>
      </c>
      <c r="C53" s="2" t="s">
        <v>318</v>
      </c>
      <c r="D53" s="2" t="s">
        <v>105</v>
      </c>
      <c r="E53" s="2" t="s">
        <v>106</v>
      </c>
      <c r="F53" s="2" t="s">
        <v>80</v>
      </c>
      <c r="G53" s="2">
        <v>50</v>
      </c>
      <c r="H53" s="4">
        <v>500</v>
      </c>
      <c r="I53" s="4">
        <v>9.34</v>
      </c>
      <c r="J53" s="4">
        <v>1.2880000000000003</v>
      </c>
      <c r="K53" s="6">
        <v>4</v>
      </c>
      <c r="L53" s="4">
        <v>13.555999999999999</v>
      </c>
      <c r="M53" s="4">
        <v>2.7270000000000021</v>
      </c>
      <c r="N53" s="2">
        <v>4</v>
      </c>
      <c r="O53" s="2" t="s">
        <v>141</v>
      </c>
      <c r="Q53" s="2">
        <v>0.25</v>
      </c>
      <c r="R53" s="2" t="s">
        <v>73</v>
      </c>
      <c r="S53" s="2" t="s">
        <v>87</v>
      </c>
      <c r="T53" s="2" t="s">
        <v>73</v>
      </c>
      <c r="U53" s="2">
        <v>25</v>
      </c>
      <c r="W53" s="2">
        <v>14</v>
      </c>
      <c r="Y53" s="2" t="s">
        <v>98</v>
      </c>
      <c r="AB53" s="2" t="s">
        <v>116</v>
      </c>
      <c r="AE53" s="2" t="s">
        <v>123</v>
      </c>
      <c r="AF53" s="2" t="s">
        <v>87</v>
      </c>
      <c r="AG53" s="2" t="s">
        <v>319</v>
      </c>
    </row>
    <row r="54" spans="1:33" x14ac:dyDescent="0.2">
      <c r="A54" s="2">
        <v>55</v>
      </c>
      <c r="B54" s="2" t="s">
        <v>317</v>
      </c>
      <c r="C54" s="2" t="s">
        <v>318</v>
      </c>
      <c r="D54" s="2" t="s">
        <v>105</v>
      </c>
      <c r="E54" s="2" t="s">
        <v>106</v>
      </c>
      <c r="F54" s="2" t="s">
        <v>78</v>
      </c>
      <c r="G54" s="2">
        <v>50</v>
      </c>
      <c r="H54" s="4">
        <v>500</v>
      </c>
      <c r="I54" s="4">
        <v>150.101</v>
      </c>
      <c r="J54" s="4">
        <v>23.74799999999999</v>
      </c>
      <c r="K54" s="6">
        <v>4</v>
      </c>
      <c r="L54" s="4">
        <v>300.67099999999999</v>
      </c>
      <c r="M54" s="4">
        <v>77.093999999999994</v>
      </c>
      <c r="N54" s="2">
        <v>4</v>
      </c>
      <c r="O54" s="2" t="s">
        <v>141</v>
      </c>
      <c r="Q54" s="2">
        <v>0.25</v>
      </c>
      <c r="R54" s="2" t="s">
        <v>73</v>
      </c>
      <c r="S54" s="2" t="s">
        <v>87</v>
      </c>
      <c r="T54" s="2" t="s">
        <v>73</v>
      </c>
      <c r="U54" s="2">
        <v>25</v>
      </c>
      <c r="W54" s="2">
        <v>14</v>
      </c>
      <c r="Y54" s="2" t="s">
        <v>98</v>
      </c>
      <c r="AB54" s="2" t="s">
        <v>116</v>
      </c>
      <c r="AE54" s="2" t="s">
        <v>123</v>
      </c>
      <c r="AF54" s="2" t="s">
        <v>87</v>
      </c>
      <c r="AG54" s="2" t="s">
        <v>320</v>
      </c>
    </row>
    <row r="55" spans="1:33" x14ac:dyDescent="0.2">
      <c r="A55" s="2">
        <v>56</v>
      </c>
      <c r="B55" s="2" t="s">
        <v>317</v>
      </c>
      <c r="C55" s="2" t="s">
        <v>318</v>
      </c>
      <c r="D55" s="2" t="s">
        <v>105</v>
      </c>
      <c r="E55" s="2" t="s">
        <v>106</v>
      </c>
      <c r="F55" s="2" t="s">
        <v>80</v>
      </c>
      <c r="G55" s="2">
        <v>50</v>
      </c>
      <c r="H55" s="4">
        <v>500</v>
      </c>
      <c r="I55" s="4">
        <v>6.8</v>
      </c>
      <c r="J55" s="4">
        <v>0.50199999999999978</v>
      </c>
      <c r="K55" s="6">
        <v>4</v>
      </c>
      <c r="L55" s="4">
        <v>13.548999999999999</v>
      </c>
      <c r="M55" s="4">
        <v>1.1460000000000008</v>
      </c>
      <c r="N55" s="2">
        <v>4</v>
      </c>
      <c r="O55" s="2" t="s">
        <v>141</v>
      </c>
      <c r="Q55" s="2">
        <v>0.25</v>
      </c>
      <c r="R55" s="2" t="s">
        <v>73</v>
      </c>
      <c r="S55" s="2" t="s">
        <v>87</v>
      </c>
      <c r="T55" s="2" t="s">
        <v>73</v>
      </c>
      <c r="U55" s="2">
        <v>25</v>
      </c>
      <c r="W55" s="2">
        <v>14</v>
      </c>
      <c r="Y55" s="2" t="s">
        <v>98</v>
      </c>
      <c r="AB55" s="2" t="s">
        <v>116</v>
      </c>
      <c r="AE55" s="2" t="s">
        <v>123</v>
      </c>
      <c r="AF55" s="2" t="s">
        <v>87</v>
      </c>
      <c r="AG55" s="2" t="s">
        <v>320</v>
      </c>
    </row>
    <row r="56" spans="1:33" x14ac:dyDescent="0.2">
      <c r="A56" s="2">
        <v>57</v>
      </c>
      <c r="B56" s="2" t="s">
        <v>317</v>
      </c>
      <c r="C56" s="2" t="s">
        <v>318</v>
      </c>
      <c r="D56" s="2" t="s">
        <v>105</v>
      </c>
      <c r="E56" s="2" t="s">
        <v>106</v>
      </c>
      <c r="F56" s="2" t="s">
        <v>78</v>
      </c>
      <c r="G56" s="2">
        <v>50</v>
      </c>
      <c r="H56" s="4">
        <v>500</v>
      </c>
      <c r="I56" s="4">
        <v>133.90600000000001</v>
      </c>
      <c r="J56" s="4">
        <v>28.960000000000008</v>
      </c>
      <c r="K56" s="6">
        <v>4</v>
      </c>
      <c r="L56" s="4">
        <v>252.245</v>
      </c>
      <c r="M56" s="4">
        <v>38.081999999999994</v>
      </c>
      <c r="N56" s="2">
        <v>4</v>
      </c>
      <c r="O56" s="2" t="s">
        <v>141</v>
      </c>
      <c r="Q56" s="2">
        <v>0.25</v>
      </c>
      <c r="R56" s="2" t="s">
        <v>73</v>
      </c>
      <c r="S56" s="2" t="s">
        <v>87</v>
      </c>
      <c r="T56" s="2" t="s">
        <v>73</v>
      </c>
      <c r="U56" s="2">
        <v>25</v>
      </c>
      <c r="W56" s="2">
        <v>14</v>
      </c>
      <c r="Y56" s="2" t="s">
        <v>98</v>
      </c>
      <c r="AB56" s="2" t="s">
        <v>116</v>
      </c>
      <c r="AE56" s="2" t="s">
        <v>123</v>
      </c>
      <c r="AF56" s="2" t="s">
        <v>87</v>
      </c>
      <c r="AG56" s="2" t="s">
        <v>321</v>
      </c>
    </row>
    <row r="57" spans="1:33" x14ac:dyDescent="0.2">
      <c r="A57" s="2">
        <v>58</v>
      </c>
      <c r="B57" s="2" t="s">
        <v>317</v>
      </c>
      <c r="C57" s="2" t="s">
        <v>318</v>
      </c>
      <c r="D57" s="2" t="s">
        <v>105</v>
      </c>
      <c r="E57" s="2" t="s">
        <v>106</v>
      </c>
      <c r="F57" s="2" t="s">
        <v>80</v>
      </c>
      <c r="G57" s="2">
        <v>50</v>
      </c>
      <c r="H57" s="4">
        <v>500</v>
      </c>
      <c r="I57" s="4">
        <v>7.8650000000000002</v>
      </c>
      <c r="J57" s="4">
        <v>1.641</v>
      </c>
      <c r="K57" s="6">
        <v>4</v>
      </c>
      <c r="L57" s="4">
        <v>14.18</v>
      </c>
      <c r="M57" s="4">
        <v>1.3849999999999998</v>
      </c>
      <c r="N57" s="2">
        <v>4</v>
      </c>
      <c r="O57" s="2" t="s">
        <v>141</v>
      </c>
      <c r="Q57" s="2">
        <v>0.25</v>
      </c>
      <c r="R57" s="2" t="s">
        <v>73</v>
      </c>
      <c r="S57" s="2" t="s">
        <v>87</v>
      </c>
      <c r="T57" s="2" t="s">
        <v>73</v>
      </c>
      <c r="U57" s="2">
        <v>25</v>
      </c>
      <c r="W57" s="2">
        <v>14</v>
      </c>
      <c r="Y57" s="2" t="s">
        <v>98</v>
      </c>
      <c r="AB57" s="2" t="s">
        <v>116</v>
      </c>
      <c r="AE57" s="2" t="s">
        <v>123</v>
      </c>
      <c r="AF57" s="2" t="s">
        <v>87</v>
      </c>
      <c r="AG57" s="2" t="s">
        <v>321</v>
      </c>
    </row>
    <row r="58" spans="1:33" x14ac:dyDescent="0.2">
      <c r="A58" s="2">
        <v>59</v>
      </c>
      <c r="B58" s="2" t="s">
        <v>322</v>
      </c>
      <c r="C58" s="2" t="s">
        <v>236</v>
      </c>
      <c r="D58" s="2" t="s">
        <v>121</v>
      </c>
      <c r="E58" s="2" t="s">
        <v>122</v>
      </c>
      <c r="F58" s="2" t="s">
        <v>78</v>
      </c>
      <c r="G58" s="2">
        <v>80</v>
      </c>
      <c r="H58" s="4">
        <v>500</v>
      </c>
      <c r="I58" s="4">
        <v>244.36</v>
      </c>
      <c r="J58" s="4">
        <v>39.649000000000001</v>
      </c>
      <c r="K58" s="6">
        <v>4</v>
      </c>
      <c r="L58" s="4">
        <v>271.43200000000002</v>
      </c>
      <c r="M58" s="4">
        <v>41.170999999999992</v>
      </c>
      <c r="N58" s="2">
        <v>4</v>
      </c>
      <c r="O58" s="2" t="s">
        <v>141</v>
      </c>
      <c r="Q58" s="2">
        <v>0.3</v>
      </c>
      <c r="R58" s="2" t="s">
        <v>87</v>
      </c>
      <c r="S58" s="2" t="s">
        <v>73</v>
      </c>
      <c r="T58" s="2" t="s">
        <v>73</v>
      </c>
      <c r="U58" s="2">
        <v>18</v>
      </c>
      <c r="W58" s="2">
        <v>14</v>
      </c>
      <c r="Y58" s="2" t="s">
        <v>98</v>
      </c>
      <c r="AB58" s="2" t="s">
        <v>116</v>
      </c>
      <c r="AC58" s="2">
        <v>360</v>
      </c>
      <c r="AE58" s="2" t="s">
        <v>133</v>
      </c>
      <c r="AF58" s="2" t="s">
        <v>87</v>
      </c>
      <c r="AG58" s="2" t="s">
        <v>323</v>
      </c>
    </row>
    <row r="59" spans="1:33" x14ac:dyDescent="0.2">
      <c r="A59" s="2">
        <v>60</v>
      </c>
      <c r="B59" s="2" t="s">
        <v>322</v>
      </c>
      <c r="C59" s="2" t="s">
        <v>236</v>
      </c>
      <c r="D59" s="2" t="s">
        <v>121</v>
      </c>
      <c r="E59" s="2" t="s">
        <v>122</v>
      </c>
      <c r="F59" s="2" t="s">
        <v>80</v>
      </c>
      <c r="G59" s="2">
        <v>80</v>
      </c>
      <c r="H59" s="4">
        <v>500</v>
      </c>
      <c r="I59" s="4">
        <v>9.4949999999999992</v>
      </c>
      <c r="J59" s="4">
        <v>0.60199999999999854</v>
      </c>
      <c r="K59" s="6">
        <v>4</v>
      </c>
      <c r="L59" s="4">
        <v>12.733000000000001</v>
      </c>
      <c r="M59" s="4">
        <v>0.71399999999999864</v>
      </c>
      <c r="N59" s="2">
        <v>4</v>
      </c>
      <c r="O59" s="2" t="s">
        <v>141</v>
      </c>
      <c r="Q59" s="2">
        <v>0.3</v>
      </c>
      <c r="R59" s="2" t="s">
        <v>87</v>
      </c>
      <c r="S59" s="2" t="s">
        <v>73</v>
      </c>
      <c r="T59" s="2" t="s">
        <v>73</v>
      </c>
      <c r="U59" s="2">
        <v>18</v>
      </c>
      <c r="W59" s="2">
        <v>14</v>
      </c>
      <c r="Y59" s="2" t="s">
        <v>98</v>
      </c>
      <c r="AB59" s="2" t="s">
        <v>116</v>
      </c>
      <c r="AC59" s="2">
        <v>360</v>
      </c>
      <c r="AE59" s="2" t="s">
        <v>133</v>
      </c>
      <c r="AF59" s="2" t="s">
        <v>87</v>
      </c>
      <c r="AG59" s="2" t="s">
        <v>323</v>
      </c>
    </row>
    <row r="60" spans="1:33" x14ac:dyDescent="0.2">
      <c r="A60" s="2">
        <v>62</v>
      </c>
      <c r="B60" s="2" t="s">
        <v>322</v>
      </c>
      <c r="C60" s="2" t="s">
        <v>236</v>
      </c>
      <c r="D60" s="2" t="s">
        <v>121</v>
      </c>
      <c r="E60" s="2" t="s">
        <v>122</v>
      </c>
      <c r="F60" s="2" t="s">
        <v>80</v>
      </c>
      <c r="G60" s="2">
        <v>80</v>
      </c>
      <c r="H60" s="4">
        <v>500</v>
      </c>
      <c r="I60" s="4">
        <v>10.239000000000001</v>
      </c>
      <c r="J60" s="4">
        <v>0.39100000000000001</v>
      </c>
      <c r="K60" s="6">
        <v>4</v>
      </c>
      <c r="L60" s="4">
        <v>13.236000000000001</v>
      </c>
      <c r="M60" s="4">
        <v>0.48199999999999932</v>
      </c>
      <c r="N60" s="2">
        <v>4</v>
      </c>
      <c r="O60" s="2" t="s">
        <v>141</v>
      </c>
      <c r="Q60" s="2">
        <v>0.3</v>
      </c>
      <c r="R60" s="2" t="s">
        <v>87</v>
      </c>
      <c r="S60" s="2" t="s">
        <v>73</v>
      </c>
      <c r="T60" s="2" t="s">
        <v>73</v>
      </c>
      <c r="U60" s="2">
        <v>18</v>
      </c>
      <c r="W60" s="2">
        <v>14</v>
      </c>
      <c r="Y60" s="2" t="s">
        <v>98</v>
      </c>
      <c r="AB60" s="2" t="s">
        <v>116</v>
      </c>
      <c r="AC60" s="2">
        <v>2000</v>
      </c>
      <c r="AE60" s="2" t="s">
        <v>133</v>
      </c>
      <c r="AF60" s="2" t="s">
        <v>87</v>
      </c>
      <c r="AG60" s="2" t="s">
        <v>324</v>
      </c>
    </row>
    <row r="61" spans="1:33" x14ac:dyDescent="0.2">
      <c r="A61" s="2">
        <v>63</v>
      </c>
      <c r="B61" s="2" t="s">
        <v>322</v>
      </c>
      <c r="C61" s="2" t="s">
        <v>236</v>
      </c>
      <c r="D61" s="2" t="s">
        <v>121</v>
      </c>
      <c r="E61" s="2" t="s">
        <v>122</v>
      </c>
      <c r="F61" s="2" t="s">
        <v>78</v>
      </c>
      <c r="G61" s="2">
        <v>80</v>
      </c>
      <c r="H61" s="4">
        <v>500</v>
      </c>
      <c r="I61" s="4">
        <v>166.44399999999999</v>
      </c>
      <c r="J61" s="4">
        <v>18.280999999999977</v>
      </c>
      <c r="K61" s="6">
        <v>4</v>
      </c>
      <c r="L61" s="4">
        <v>217.07599999999999</v>
      </c>
      <c r="M61" s="4">
        <v>14.685000000000002</v>
      </c>
      <c r="N61" s="2">
        <v>4</v>
      </c>
      <c r="O61" s="2" t="s">
        <v>141</v>
      </c>
      <c r="Q61" s="2">
        <v>0.3</v>
      </c>
      <c r="R61" s="2" t="s">
        <v>87</v>
      </c>
      <c r="S61" s="2" t="s">
        <v>73</v>
      </c>
      <c r="T61" s="2" t="s">
        <v>73</v>
      </c>
      <c r="U61" s="2">
        <v>18</v>
      </c>
      <c r="W61" s="2">
        <v>14</v>
      </c>
      <c r="Y61" s="2" t="s">
        <v>98</v>
      </c>
      <c r="AB61" s="2" t="s">
        <v>116</v>
      </c>
      <c r="AC61" s="2">
        <v>360</v>
      </c>
      <c r="AE61" s="2" t="s">
        <v>133</v>
      </c>
      <c r="AF61" s="2" t="s">
        <v>87</v>
      </c>
      <c r="AG61" s="2" t="s">
        <v>325</v>
      </c>
    </row>
    <row r="62" spans="1:33" x14ac:dyDescent="0.2">
      <c r="A62" s="2">
        <v>64</v>
      </c>
      <c r="B62" s="2" t="s">
        <v>322</v>
      </c>
      <c r="C62" s="2" t="s">
        <v>236</v>
      </c>
      <c r="D62" s="2" t="s">
        <v>121</v>
      </c>
      <c r="E62" s="2" t="s">
        <v>122</v>
      </c>
      <c r="F62" s="2" t="s">
        <v>80</v>
      </c>
      <c r="G62" s="2">
        <v>80</v>
      </c>
      <c r="H62" s="4">
        <v>500</v>
      </c>
      <c r="I62" s="4">
        <v>7.8810000000000002</v>
      </c>
      <c r="J62" s="4">
        <v>0.53500000000000014</v>
      </c>
      <c r="K62" s="6">
        <v>4</v>
      </c>
      <c r="L62" s="4">
        <v>10.185</v>
      </c>
      <c r="M62" s="4">
        <v>0.63199999999999967</v>
      </c>
      <c r="N62" s="2">
        <v>4</v>
      </c>
      <c r="O62" s="2" t="s">
        <v>141</v>
      </c>
      <c r="Q62" s="2">
        <v>0.3</v>
      </c>
      <c r="R62" s="2" t="s">
        <v>87</v>
      </c>
      <c r="S62" s="2" t="s">
        <v>73</v>
      </c>
      <c r="T62" s="2" t="s">
        <v>73</v>
      </c>
      <c r="U62" s="2">
        <v>18</v>
      </c>
      <c r="W62" s="2">
        <v>14</v>
      </c>
      <c r="Y62" s="2" t="s">
        <v>98</v>
      </c>
      <c r="AB62" s="2" t="s">
        <v>116</v>
      </c>
      <c r="AC62" s="2">
        <v>360</v>
      </c>
      <c r="AE62" s="2" t="s">
        <v>133</v>
      </c>
      <c r="AF62" s="2" t="s">
        <v>87</v>
      </c>
      <c r="AG62" s="2" t="s">
        <v>325</v>
      </c>
    </row>
    <row r="63" spans="1:33" x14ac:dyDescent="0.2">
      <c r="A63" s="2">
        <v>66</v>
      </c>
      <c r="B63" s="2" t="s">
        <v>322</v>
      </c>
      <c r="C63" s="2" t="s">
        <v>236</v>
      </c>
      <c r="D63" s="2" t="s">
        <v>121</v>
      </c>
      <c r="E63" s="2" t="s">
        <v>122</v>
      </c>
      <c r="F63" s="2" t="s">
        <v>80</v>
      </c>
      <c r="G63" s="2">
        <v>80</v>
      </c>
      <c r="H63" s="4">
        <v>500</v>
      </c>
      <c r="I63" s="4">
        <v>8.359</v>
      </c>
      <c r="J63" s="4">
        <v>0.36100000000000065</v>
      </c>
      <c r="K63" s="6">
        <v>4</v>
      </c>
      <c r="L63" s="4">
        <v>13.904</v>
      </c>
      <c r="M63" s="4">
        <v>1.6650000000000009</v>
      </c>
      <c r="N63" s="2">
        <v>4</v>
      </c>
      <c r="O63" s="2" t="s">
        <v>141</v>
      </c>
      <c r="Q63" s="2">
        <v>0.3</v>
      </c>
      <c r="R63" s="2" t="s">
        <v>87</v>
      </c>
      <c r="S63" s="2" t="s">
        <v>73</v>
      </c>
      <c r="T63" s="2" t="s">
        <v>73</v>
      </c>
      <c r="U63" s="2">
        <v>18</v>
      </c>
      <c r="W63" s="2">
        <v>14</v>
      </c>
      <c r="Y63" s="2" t="s">
        <v>98</v>
      </c>
      <c r="AB63" s="2" t="s">
        <v>116</v>
      </c>
      <c r="AC63" s="2">
        <v>2000</v>
      </c>
      <c r="AE63" s="2" t="s">
        <v>133</v>
      </c>
      <c r="AF63" s="2" t="s">
        <v>87</v>
      </c>
      <c r="AG63" s="2" t="s">
        <v>326</v>
      </c>
    </row>
    <row r="64" spans="1:33" x14ac:dyDescent="0.2">
      <c r="A64" s="2">
        <v>67</v>
      </c>
      <c r="B64" s="2" t="s">
        <v>322</v>
      </c>
      <c r="C64" s="2" t="s">
        <v>236</v>
      </c>
      <c r="D64" s="2" t="s">
        <v>121</v>
      </c>
      <c r="E64" s="2" t="s">
        <v>122</v>
      </c>
      <c r="F64" s="2" t="s">
        <v>78</v>
      </c>
      <c r="G64" s="2">
        <v>80</v>
      </c>
      <c r="H64" s="4">
        <v>500</v>
      </c>
      <c r="I64" s="4">
        <v>121.155</v>
      </c>
      <c r="J64" s="4">
        <v>15.728000000000009</v>
      </c>
      <c r="K64" s="6">
        <v>4</v>
      </c>
      <c r="L64" s="4">
        <v>142.31</v>
      </c>
      <c r="M64" s="4">
        <v>15.206</v>
      </c>
      <c r="N64" s="2">
        <v>4</v>
      </c>
      <c r="O64" s="2" t="s">
        <v>141</v>
      </c>
      <c r="Q64" s="2">
        <v>0.3</v>
      </c>
      <c r="R64" s="2" t="s">
        <v>73</v>
      </c>
      <c r="S64" s="2" t="s">
        <v>87</v>
      </c>
      <c r="T64" s="2" t="s">
        <v>73</v>
      </c>
      <c r="U64" s="2">
        <v>18</v>
      </c>
      <c r="W64" s="2">
        <v>14</v>
      </c>
      <c r="Y64" s="2" t="s">
        <v>98</v>
      </c>
      <c r="AB64" s="2" t="s">
        <v>116</v>
      </c>
      <c r="AC64" s="2">
        <v>360</v>
      </c>
      <c r="AE64" s="2" t="s">
        <v>133</v>
      </c>
      <c r="AF64" s="2" t="s">
        <v>87</v>
      </c>
      <c r="AG64" s="2" t="s">
        <v>327</v>
      </c>
    </row>
    <row r="65" spans="1:33" x14ac:dyDescent="0.2">
      <c r="A65" s="2">
        <v>68</v>
      </c>
      <c r="B65" s="2" t="s">
        <v>322</v>
      </c>
      <c r="C65" s="2" t="s">
        <v>236</v>
      </c>
      <c r="D65" s="2" t="s">
        <v>121</v>
      </c>
      <c r="E65" s="2" t="s">
        <v>122</v>
      </c>
      <c r="F65" s="2" t="s">
        <v>80</v>
      </c>
      <c r="G65" s="2">
        <v>80</v>
      </c>
      <c r="H65" s="4">
        <v>500</v>
      </c>
      <c r="I65" s="4">
        <v>8.1959999999999997</v>
      </c>
      <c r="J65" s="4">
        <v>0.49600000000000044</v>
      </c>
      <c r="K65" s="6">
        <v>4</v>
      </c>
      <c r="L65" s="4">
        <v>10.441000000000001</v>
      </c>
      <c r="M65" s="4">
        <v>1.004999999999999</v>
      </c>
      <c r="N65" s="2">
        <v>4</v>
      </c>
      <c r="O65" s="2" t="s">
        <v>141</v>
      </c>
      <c r="Q65" s="2">
        <v>0.3</v>
      </c>
      <c r="R65" s="2" t="s">
        <v>73</v>
      </c>
      <c r="S65" s="2" t="s">
        <v>87</v>
      </c>
      <c r="T65" s="2" t="s">
        <v>73</v>
      </c>
      <c r="U65" s="2">
        <v>18</v>
      </c>
      <c r="W65" s="2">
        <v>14</v>
      </c>
      <c r="Y65" s="2" t="s">
        <v>98</v>
      </c>
      <c r="AB65" s="2" t="s">
        <v>116</v>
      </c>
      <c r="AC65" s="2">
        <v>360</v>
      </c>
      <c r="AE65" s="2" t="s">
        <v>133</v>
      </c>
      <c r="AF65" s="2" t="s">
        <v>87</v>
      </c>
      <c r="AG65" s="2" t="s">
        <v>327</v>
      </c>
    </row>
    <row r="66" spans="1:33" x14ac:dyDescent="0.2">
      <c r="A66" s="2">
        <v>70</v>
      </c>
      <c r="B66" s="2" t="s">
        <v>322</v>
      </c>
      <c r="C66" s="2" t="s">
        <v>236</v>
      </c>
      <c r="D66" s="2" t="s">
        <v>121</v>
      </c>
      <c r="E66" s="2" t="s">
        <v>122</v>
      </c>
      <c r="F66" s="2" t="s">
        <v>80</v>
      </c>
      <c r="G66" s="2">
        <v>80</v>
      </c>
      <c r="H66" s="4">
        <v>500</v>
      </c>
      <c r="I66" s="4">
        <v>7.2610000000000001</v>
      </c>
      <c r="J66" s="4">
        <v>0.46999999999999975</v>
      </c>
      <c r="K66" s="6">
        <v>4</v>
      </c>
      <c r="L66" s="4">
        <v>14.907999999999999</v>
      </c>
      <c r="M66" s="4">
        <v>1.1480000000000015</v>
      </c>
      <c r="N66" s="2">
        <v>4</v>
      </c>
      <c r="O66" s="2" t="s">
        <v>141</v>
      </c>
      <c r="Q66" s="2">
        <v>0.3</v>
      </c>
      <c r="R66" s="2" t="s">
        <v>73</v>
      </c>
      <c r="S66" s="2" t="s">
        <v>87</v>
      </c>
      <c r="T66" s="2" t="s">
        <v>73</v>
      </c>
      <c r="U66" s="2">
        <v>18</v>
      </c>
      <c r="W66" s="2">
        <v>14</v>
      </c>
      <c r="Y66" s="2" t="s">
        <v>98</v>
      </c>
      <c r="AB66" s="2" t="s">
        <v>116</v>
      </c>
      <c r="AC66" s="2">
        <v>2000</v>
      </c>
      <c r="AE66" s="2" t="s">
        <v>133</v>
      </c>
      <c r="AF66" s="2" t="s">
        <v>87</v>
      </c>
      <c r="AG66" s="2" t="s">
        <v>328</v>
      </c>
    </row>
    <row r="67" spans="1:33" x14ac:dyDescent="0.2">
      <c r="A67" s="2">
        <v>71</v>
      </c>
      <c r="B67" s="2" t="s">
        <v>333</v>
      </c>
      <c r="C67" s="2" t="s">
        <v>83</v>
      </c>
      <c r="D67" s="2" t="s">
        <v>84</v>
      </c>
      <c r="E67" s="2" t="s">
        <v>85</v>
      </c>
      <c r="F67" s="2" t="s">
        <v>80</v>
      </c>
      <c r="G67" s="2">
        <v>7</v>
      </c>
      <c r="H67" s="4">
        <v>170</v>
      </c>
      <c r="I67" s="4">
        <v>9.6</v>
      </c>
      <c r="J67" s="4">
        <v>0.3</v>
      </c>
      <c r="K67" s="2">
        <v>3</v>
      </c>
      <c r="L67" s="4">
        <v>13.7</v>
      </c>
      <c r="M67" s="4">
        <v>2.2000000000000002</v>
      </c>
      <c r="N67" s="2">
        <v>3</v>
      </c>
      <c r="O67" s="2" t="s">
        <v>95</v>
      </c>
      <c r="P67" s="2" t="s">
        <v>616</v>
      </c>
      <c r="R67" s="2" t="s">
        <v>73</v>
      </c>
      <c r="S67" s="2" t="s">
        <v>73</v>
      </c>
      <c r="T67" s="2" t="s">
        <v>73</v>
      </c>
      <c r="U67" s="2">
        <v>18</v>
      </c>
      <c r="W67" s="2">
        <v>24</v>
      </c>
      <c r="Y67" s="2" t="s">
        <v>89</v>
      </c>
      <c r="Z67" s="2">
        <v>8</v>
      </c>
      <c r="AA67" s="2" t="s">
        <v>73</v>
      </c>
      <c r="AB67" s="2" t="s">
        <v>116</v>
      </c>
      <c r="AE67" s="2" t="s">
        <v>334</v>
      </c>
      <c r="AF67" s="2" t="s">
        <v>73</v>
      </c>
      <c r="AG67" s="2" t="s">
        <v>335</v>
      </c>
    </row>
    <row r="68" spans="1:33" x14ac:dyDescent="0.2">
      <c r="A68" s="2">
        <v>72</v>
      </c>
      <c r="B68" s="2" t="s">
        <v>333</v>
      </c>
      <c r="C68" s="2" t="s">
        <v>83</v>
      </c>
      <c r="D68" s="2" t="s">
        <v>84</v>
      </c>
      <c r="E68" s="2" t="s">
        <v>85</v>
      </c>
      <c r="F68" s="2" t="s">
        <v>80</v>
      </c>
      <c r="G68" s="2">
        <v>7</v>
      </c>
      <c r="H68" s="4">
        <v>170</v>
      </c>
      <c r="I68" s="4">
        <v>11.2</v>
      </c>
      <c r="J68" s="4">
        <v>0.4</v>
      </c>
      <c r="K68" s="2">
        <v>3</v>
      </c>
      <c r="L68" s="4">
        <v>10</v>
      </c>
      <c r="M68" s="4">
        <v>1</v>
      </c>
      <c r="N68" s="2">
        <v>3</v>
      </c>
      <c r="O68" s="2" t="s">
        <v>95</v>
      </c>
      <c r="P68" s="2" t="s">
        <v>616</v>
      </c>
      <c r="R68" s="2" t="s">
        <v>73</v>
      </c>
      <c r="S68" s="2" t="s">
        <v>73</v>
      </c>
      <c r="T68" s="2" t="s">
        <v>73</v>
      </c>
      <c r="U68" s="2">
        <v>18</v>
      </c>
      <c r="W68" s="2">
        <v>24</v>
      </c>
      <c r="Y68" s="2" t="s">
        <v>89</v>
      </c>
      <c r="Z68" s="2">
        <v>8</v>
      </c>
      <c r="AA68" s="2" t="s">
        <v>73</v>
      </c>
      <c r="AB68" s="2" t="s">
        <v>117</v>
      </c>
      <c r="AE68" s="2" t="s">
        <v>334</v>
      </c>
      <c r="AF68" s="2" t="s">
        <v>73</v>
      </c>
      <c r="AG68" s="2" t="s">
        <v>529</v>
      </c>
    </row>
    <row r="69" spans="1:33" x14ac:dyDescent="0.2">
      <c r="A69" s="2">
        <v>73</v>
      </c>
      <c r="B69" s="2" t="s">
        <v>333</v>
      </c>
      <c r="C69" s="2" t="s">
        <v>336</v>
      </c>
      <c r="D69" s="2" t="s">
        <v>84</v>
      </c>
      <c r="E69" s="2" t="s">
        <v>85</v>
      </c>
      <c r="F69" s="2" t="s">
        <v>80</v>
      </c>
      <c r="G69" s="2">
        <v>7</v>
      </c>
      <c r="H69" s="4">
        <v>170</v>
      </c>
      <c r="I69" s="4">
        <v>13.9</v>
      </c>
      <c r="J69" s="4">
        <v>2.8</v>
      </c>
      <c r="K69" s="2">
        <v>3</v>
      </c>
      <c r="L69" s="4">
        <v>10.7</v>
      </c>
      <c r="M69" s="4">
        <v>0.5</v>
      </c>
      <c r="N69" s="2">
        <v>3</v>
      </c>
      <c r="O69" s="2" t="s">
        <v>95</v>
      </c>
      <c r="P69" s="2" t="s">
        <v>616</v>
      </c>
      <c r="R69" s="2" t="s">
        <v>73</v>
      </c>
      <c r="S69" s="2" t="s">
        <v>73</v>
      </c>
      <c r="T69" s="2" t="s">
        <v>73</v>
      </c>
      <c r="U69" s="2">
        <v>18</v>
      </c>
      <c r="W69" s="2">
        <v>24</v>
      </c>
      <c r="Y69" s="2" t="s">
        <v>89</v>
      </c>
      <c r="Z69" s="2">
        <v>8</v>
      </c>
      <c r="AA69" s="2" t="s">
        <v>73</v>
      </c>
      <c r="AB69" s="2" t="s">
        <v>116</v>
      </c>
      <c r="AE69" s="2" t="s">
        <v>334</v>
      </c>
      <c r="AF69" s="2" t="s">
        <v>73</v>
      </c>
      <c r="AG69" s="2" t="s">
        <v>335</v>
      </c>
    </row>
    <row r="70" spans="1:33" x14ac:dyDescent="0.2">
      <c r="A70" s="2">
        <v>74</v>
      </c>
      <c r="B70" s="2" t="s">
        <v>333</v>
      </c>
      <c r="C70" s="2" t="s">
        <v>336</v>
      </c>
      <c r="D70" s="2" t="s">
        <v>84</v>
      </c>
      <c r="E70" s="2" t="s">
        <v>85</v>
      </c>
      <c r="F70" s="2" t="s">
        <v>80</v>
      </c>
      <c r="G70" s="2">
        <v>7</v>
      </c>
      <c r="H70" s="4">
        <v>170</v>
      </c>
      <c r="I70" s="4">
        <v>9.3000000000000007</v>
      </c>
      <c r="J70" s="4">
        <v>0.7</v>
      </c>
      <c r="K70" s="2">
        <v>3</v>
      </c>
      <c r="L70" s="4">
        <v>7.8</v>
      </c>
      <c r="M70" s="4">
        <v>0.5</v>
      </c>
      <c r="N70" s="2">
        <v>3</v>
      </c>
      <c r="O70" s="2" t="s">
        <v>95</v>
      </c>
      <c r="P70" s="2" t="s">
        <v>616</v>
      </c>
      <c r="R70" s="2" t="s">
        <v>73</v>
      </c>
      <c r="S70" s="2" t="s">
        <v>73</v>
      </c>
      <c r="T70" s="2" t="s">
        <v>73</v>
      </c>
      <c r="U70" s="2">
        <v>18</v>
      </c>
      <c r="W70" s="2">
        <v>24</v>
      </c>
      <c r="Y70" s="2" t="s">
        <v>89</v>
      </c>
      <c r="Z70" s="2">
        <v>8</v>
      </c>
      <c r="AA70" s="2" t="s">
        <v>73</v>
      </c>
      <c r="AB70" s="2" t="s">
        <v>117</v>
      </c>
      <c r="AE70" s="2" t="s">
        <v>334</v>
      </c>
      <c r="AF70" s="2" t="s">
        <v>73</v>
      </c>
      <c r="AG70" s="2" t="s">
        <v>529</v>
      </c>
    </row>
    <row r="71" spans="1:33" x14ac:dyDescent="0.2">
      <c r="A71" s="2">
        <v>75</v>
      </c>
      <c r="B71" s="2" t="s">
        <v>333</v>
      </c>
      <c r="C71" s="2" t="s">
        <v>305</v>
      </c>
      <c r="D71" s="2" t="s">
        <v>135</v>
      </c>
      <c r="E71" s="2" t="s">
        <v>106</v>
      </c>
      <c r="F71" s="2" t="s">
        <v>80</v>
      </c>
      <c r="G71" s="2">
        <v>7</v>
      </c>
      <c r="H71" s="4">
        <v>170</v>
      </c>
      <c r="I71" s="4">
        <v>9.6</v>
      </c>
      <c r="J71" s="4">
        <v>0.5</v>
      </c>
      <c r="K71" s="2">
        <v>3</v>
      </c>
      <c r="L71" s="4">
        <v>6.9</v>
      </c>
      <c r="M71" s="4">
        <v>0.3</v>
      </c>
      <c r="N71" s="2">
        <v>3</v>
      </c>
      <c r="O71" s="2" t="s">
        <v>95</v>
      </c>
      <c r="P71" s="2" t="s">
        <v>616</v>
      </c>
      <c r="R71" s="2" t="s">
        <v>73</v>
      </c>
      <c r="S71" s="2" t="s">
        <v>73</v>
      </c>
      <c r="T71" s="2" t="s">
        <v>73</v>
      </c>
      <c r="U71" s="2">
        <v>18</v>
      </c>
      <c r="W71" s="2">
        <v>24</v>
      </c>
      <c r="Y71" s="2" t="s">
        <v>89</v>
      </c>
      <c r="Z71" s="2">
        <v>8</v>
      </c>
      <c r="AA71" s="2" t="s">
        <v>73</v>
      </c>
      <c r="AB71" s="2" t="s">
        <v>116</v>
      </c>
      <c r="AE71" s="2" t="s">
        <v>334</v>
      </c>
      <c r="AF71" s="2" t="s">
        <v>73</v>
      </c>
      <c r="AG71" s="2" t="s">
        <v>335</v>
      </c>
    </row>
    <row r="72" spans="1:33" x14ac:dyDescent="0.2">
      <c r="A72" s="2">
        <v>76</v>
      </c>
      <c r="B72" s="2" t="s">
        <v>333</v>
      </c>
      <c r="C72" s="2" t="s">
        <v>305</v>
      </c>
      <c r="D72" s="2" t="s">
        <v>135</v>
      </c>
      <c r="E72" s="2" t="s">
        <v>106</v>
      </c>
      <c r="F72" s="2" t="s">
        <v>80</v>
      </c>
      <c r="G72" s="2">
        <v>7</v>
      </c>
      <c r="H72" s="4">
        <v>170</v>
      </c>
      <c r="I72" s="4">
        <v>8.4</v>
      </c>
      <c r="J72" s="4">
        <v>0.8</v>
      </c>
      <c r="K72" s="2">
        <v>3</v>
      </c>
      <c r="L72" s="4">
        <v>7.4</v>
      </c>
      <c r="M72" s="4">
        <v>0.4</v>
      </c>
      <c r="N72" s="2">
        <v>3</v>
      </c>
      <c r="O72" s="2" t="s">
        <v>95</v>
      </c>
      <c r="P72" s="2" t="s">
        <v>616</v>
      </c>
      <c r="R72" s="2" t="s">
        <v>73</v>
      </c>
      <c r="S72" s="2" t="s">
        <v>73</v>
      </c>
      <c r="T72" s="2" t="s">
        <v>73</v>
      </c>
      <c r="U72" s="2">
        <v>18</v>
      </c>
      <c r="W72" s="2">
        <v>24</v>
      </c>
      <c r="Y72" s="2" t="s">
        <v>89</v>
      </c>
      <c r="Z72" s="2">
        <v>8</v>
      </c>
      <c r="AA72" s="2" t="s">
        <v>73</v>
      </c>
      <c r="AB72" s="2" t="s">
        <v>117</v>
      </c>
      <c r="AE72" s="2" t="s">
        <v>334</v>
      </c>
      <c r="AF72" s="2" t="s">
        <v>73</v>
      </c>
      <c r="AG72" s="2" t="s">
        <v>529</v>
      </c>
    </row>
    <row r="73" spans="1:33" x14ac:dyDescent="0.2">
      <c r="A73" s="2">
        <v>77</v>
      </c>
      <c r="B73" s="2" t="s">
        <v>333</v>
      </c>
      <c r="C73" s="2" t="s">
        <v>337</v>
      </c>
      <c r="D73" s="2" t="s">
        <v>70</v>
      </c>
      <c r="E73" s="2" t="s">
        <v>71</v>
      </c>
      <c r="F73" s="2" t="s">
        <v>80</v>
      </c>
      <c r="G73" s="2">
        <v>29</v>
      </c>
      <c r="H73" s="4">
        <v>170</v>
      </c>
      <c r="I73" s="4">
        <v>11.4</v>
      </c>
      <c r="J73" s="4">
        <v>2.2000000000000002</v>
      </c>
      <c r="K73" s="2">
        <v>3</v>
      </c>
      <c r="L73" s="4">
        <v>6.7</v>
      </c>
      <c r="M73" s="4">
        <v>0.8</v>
      </c>
      <c r="N73" s="2">
        <v>3</v>
      </c>
      <c r="O73" s="2" t="s">
        <v>95</v>
      </c>
      <c r="P73" s="2" t="s">
        <v>616</v>
      </c>
      <c r="R73" s="2" t="s">
        <v>73</v>
      </c>
      <c r="S73" s="2" t="s">
        <v>73</v>
      </c>
      <c r="T73" s="2" t="s">
        <v>73</v>
      </c>
      <c r="U73" s="2">
        <v>18</v>
      </c>
      <c r="W73" s="2">
        <v>24</v>
      </c>
      <c r="Y73" s="2" t="s">
        <v>89</v>
      </c>
      <c r="Z73" s="2">
        <v>8</v>
      </c>
      <c r="AA73" s="2" t="s">
        <v>73</v>
      </c>
      <c r="AB73" s="2" t="s">
        <v>116</v>
      </c>
      <c r="AE73" s="2" t="s">
        <v>334</v>
      </c>
      <c r="AF73" s="2" t="s">
        <v>73</v>
      </c>
      <c r="AG73" s="2" t="s">
        <v>335</v>
      </c>
    </row>
    <row r="74" spans="1:33" x14ac:dyDescent="0.2">
      <c r="A74" s="2">
        <v>78</v>
      </c>
      <c r="B74" s="2" t="s">
        <v>333</v>
      </c>
      <c r="C74" s="2" t="s">
        <v>337</v>
      </c>
      <c r="D74" s="2" t="s">
        <v>70</v>
      </c>
      <c r="E74" s="2" t="s">
        <v>71</v>
      </c>
      <c r="F74" s="2" t="s">
        <v>80</v>
      </c>
      <c r="G74" s="2">
        <v>29</v>
      </c>
      <c r="H74" s="4">
        <v>170</v>
      </c>
      <c r="I74" s="4">
        <v>7.4</v>
      </c>
      <c r="J74" s="4">
        <v>0</v>
      </c>
      <c r="K74" s="2">
        <v>3</v>
      </c>
      <c r="L74" s="4">
        <v>6.6</v>
      </c>
      <c r="M74" s="4">
        <v>0.4</v>
      </c>
      <c r="N74" s="2">
        <v>3</v>
      </c>
      <c r="O74" s="2" t="s">
        <v>95</v>
      </c>
      <c r="P74" s="2" t="s">
        <v>616</v>
      </c>
      <c r="R74" s="2" t="s">
        <v>73</v>
      </c>
      <c r="S74" s="2" t="s">
        <v>73</v>
      </c>
      <c r="T74" s="2" t="s">
        <v>73</v>
      </c>
      <c r="U74" s="2">
        <v>18</v>
      </c>
      <c r="W74" s="2">
        <v>24</v>
      </c>
      <c r="Y74" s="2" t="s">
        <v>89</v>
      </c>
      <c r="Z74" s="2">
        <v>8</v>
      </c>
      <c r="AA74" s="2" t="s">
        <v>73</v>
      </c>
      <c r="AB74" s="2" t="s">
        <v>117</v>
      </c>
      <c r="AE74" s="2" t="s">
        <v>334</v>
      </c>
      <c r="AF74" s="2" t="s">
        <v>73</v>
      </c>
      <c r="AG74" s="2" t="s">
        <v>529</v>
      </c>
    </row>
    <row r="75" spans="1:33" x14ac:dyDescent="0.2">
      <c r="A75" s="2">
        <v>79</v>
      </c>
      <c r="B75" s="2" t="s">
        <v>341</v>
      </c>
      <c r="C75" s="2" t="s">
        <v>83</v>
      </c>
      <c r="D75" s="2" t="s">
        <v>84</v>
      </c>
      <c r="E75" s="2" t="s">
        <v>85</v>
      </c>
      <c r="F75" s="2" t="s">
        <v>80</v>
      </c>
      <c r="G75" s="2">
        <v>30</v>
      </c>
      <c r="H75" s="4">
        <v>160</v>
      </c>
      <c r="I75" s="4">
        <v>5.7330000000000005</v>
      </c>
      <c r="J75" s="4">
        <v>0.51656751736825246</v>
      </c>
      <c r="K75" s="2">
        <v>4</v>
      </c>
      <c r="L75" s="4">
        <v>6.8364999999999991</v>
      </c>
      <c r="M75" s="4">
        <v>0.52126161058212106</v>
      </c>
      <c r="N75" s="2">
        <v>4</v>
      </c>
      <c r="O75" s="2" t="s">
        <v>56</v>
      </c>
      <c r="R75" s="2" t="s">
        <v>73</v>
      </c>
      <c r="S75" s="2" t="s">
        <v>73</v>
      </c>
      <c r="T75" s="2" t="s">
        <v>73</v>
      </c>
      <c r="U75" s="2">
        <v>18</v>
      </c>
      <c r="W75" s="2">
        <v>24</v>
      </c>
      <c r="X75" s="2">
        <v>35</v>
      </c>
      <c r="Y75" s="2" t="s">
        <v>89</v>
      </c>
      <c r="Z75" s="2">
        <v>9.5</v>
      </c>
      <c r="AB75" s="2" t="s">
        <v>116</v>
      </c>
      <c r="AC75" s="2">
        <v>390</v>
      </c>
      <c r="AE75" s="2" t="s">
        <v>228</v>
      </c>
      <c r="AF75" s="2" t="s">
        <v>87</v>
      </c>
      <c r="AG75" s="2" t="s">
        <v>342</v>
      </c>
    </row>
    <row r="76" spans="1:33" x14ac:dyDescent="0.2">
      <c r="A76" s="2">
        <v>80</v>
      </c>
      <c r="B76" s="2" t="s">
        <v>341</v>
      </c>
      <c r="C76" s="2" t="s">
        <v>83</v>
      </c>
      <c r="D76" s="2" t="s">
        <v>84</v>
      </c>
      <c r="E76" s="2" t="s">
        <v>85</v>
      </c>
      <c r="F76" s="2" t="s">
        <v>80</v>
      </c>
      <c r="G76" s="2">
        <v>30</v>
      </c>
      <c r="H76" s="4">
        <v>160</v>
      </c>
      <c r="I76" s="4">
        <v>6.0095000000000001</v>
      </c>
      <c r="J76" s="4">
        <v>8.1317279836453121E-2</v>
      </c>
      <c r="K76" s="2">
        <v>2</v>
      </c>
      <c r="L76" s="4">
        <v>6.8043333333333331</v>
      </c>
      <c r="M76" s="4">
        <v>0.57405690774811968</v>
      </c>
      <c r="N76" s="2">
        <v>3</v>
      </c>
      <c r="O76" s="2" t="s">
        <v>56</v>
      </c>
      <c r="R76" s="2" t="s">
        <v>73</v>
      </c>
      <c r="S76" s="2" t="s">
        <v>73</v>
      </c>
      <c r="T76" s="2" t="s">
        <v>73</v>
      </c>
      <c r="U76" s="2">
        <v>18</v>
      </c>
      <c r="W76" s="2">
        <v>24</v>
      </c>
      <c r="X76" s="2">
        <v>35</v>
      </c>
      <c r="Y76" s="2" t="s">
        <v>89</v>
      </c>
      <c r="Z76" s="2">
        <v>9.5</v>
      </c>
      <c r="AB76" s="2" t="s">
        <v>116</v>
      </c>
      <c r="AC76" s="2">
        <v>750</v>
      </c>
      <c r="AE76" s="2" t="s">
        <v>228</v>
      </c>
      <c r="AF76" s="2" t="s">
        <v>87</v>
      </c>
      <c r="AG76" s="2" t="s">
        <v>344</v>
      </c>
    </row>
    <row r="77" spans="1:33" x14ac:dyDescent="0.2">
      <c r="A77" s="2">
        <v>81</v>
      </c>
      <c r="B77" s="2" t="s">
        <v>345</v>
      </c>
      <c r="C77" s="2" t="s">
        <v>83</v>
      </c>
      <c r="D77" s="2" t="s">
        <v>84</v>
      </c>
      <c r="E77" s="2" t="s">
        <v>85</v>
      </c>
      <c r="F77" s="2" t="s">
        <v>80</v>
      </c>
      <c r="G77" s="2">
        <v>30</v>
      </c>
      <c r="H77" s="4">
        <v>180</v>
      </c>
      <c r="I77" s="4">
        <f>5.89/12*14</f>
        <v>6.8716666666666661</v>
      </c>
      <c r="J77" s="4">
        <f>0.5/12*14</f>
        <v>0.58333333333333326</v>
      </c>
      <c r="K77" s="2">
        <v>3</v>
      </c>
      <c r="L77" s="4">
        <f>6.42/12*14</f>
        <v>7.49</v>
      </c>
      <c r="M77" s="4">
        <v>0.32</v>
      </c>
      <c r="N77" s="2">
        <v>3</v>
      </c>
      <c r="O77" s="2" t="s">
        <v>56</v>
      </c>
      <c r="R77" s="2" t="s">
        <v>73</v>
      </c>
      <c r="S77" s="2" t="s">
        <v>73</v>
      </c>
      <c r="T77" s="2" t="s">
        <v>73</v>
      </c>
      <c r="U77" s="2">
        <v>18</v>
      </c>
      <c r="W77" s="2">
        <v>24</v>
      </c>
      <c r="Y77" s="2" t="s">
        <v>89</v>
      </c>
      <c r="Z77" s="2">
        <v>9.5</v>
      </c>
      <c r="AB77" s="2" t="s">
        <v>116</v>
      </c>
      <c r="AE77" s="2" t="s">
        <v>142</v>
      </c>
      <c r="AF77" s="2" t="s">
        <v>73</v>
      </c>
      <c r="AG77" s="2" t="s">
        <v>349</v>
      </c>
    </row>
    <row r="78" spans="1:33" x14ac:dyDescent="0.2">
      <c r="A78" s="2">
        <v>82</v>
      </c>
      <c r="B78" s="2" t="s">
        <v>345</v>
      </c>
      <c r="C78" s="2" t="s">
        <v>351</v>
      </c>
      <c r="D78" s="2" t="s">
        <v>84</v>
      </c>
      <c r="E78" s="2" t="s">
        <v>85</v>
      </c>
      <c r="F78" s="2" t="s">
        <v>80</v>
      </c>
      <c r="G78" s="2">
        <v>30</v>
      </c>
      <c r="H78" s="4">
        <v>90</v>
      </c>
      <c r="I78" s="4">
        <f>4.82/12*14</f>
        <v>5.6233333333333331</v>
      </c>
      <c r="J78" s="4">
        <f>0.32/12*14</f>
        <v>0.37333333333333335</v>
      </c>
      <c r="K78" s="2">
        <v>3</v>
      </c>
      <c r="L78" s="4">
        <f>5.24/12*14</f>
        <v>6.1133333333333342</v>
      </c>
      <c r="M78" s="4">
        <f>0.5/12*14</f>
        <v>0.58333333333333326</v>
      </c>
      <c r="N78" s="2">
        <v>3</v>
      </c>
      <c r="O78" s="2" t="s">
        <v>56</v>
      </c>
      <c r="R78" s="2" t="s">
        <v>73</v>
      </c>
      <c r="S78" s="2" t="s">
        <v>73</v>
      </c>
      <c r="T78" s="2" t="s">
        <v>73</v>
      </c>
      <c r="U78" s="2">
        <v>18</v>
      </c>
      <c r="W78" s="2">
        <v>24</v>
      </c>
      <c r="Y78" s="2" t="s">
        <v>89</v>
      </c>
      <c r="Z78" s="2">
        <v>9.5</v>
      </c>
      <c r="AB78" s="2" t="s">
        <v>116</v>
      </c>
      <c r="AE78" s="2" t="s">
        <v>142</v>
      </c>
      <c r="AF78" s="2" t="s">
        <v>73</v>
      </c>
      <c r="AG78" s="2" t="s">
        <v>349</v>
      </c>
    </row>
    <row r="79" spans="1:33" x14ac:dyDescent="0.2">
      <c r="A79" s="2">
        <v>83</v>
      </c>
      <c r="B79" s="2" t="s">
        <v>394</v>
      </c>
      <c r="C79" s="2" t="s">
        <v>390</v>
      </c>
      <c r="D79" s="2" t="s">
        <v>70</v>
      </c>
      <c r="E79" s="2" t="s">
        <v>71</v>
      </c>
      <c r="F79" s="2" t="s">
        <v>78</v>
      </c>
      <c r="G79" s="2">
        <v>36.170999999999999</v>
      </c>
      <c r="H79" s="4">
        <v>156.798</v>
      </c>
      <c r="I79" s="4">
        <v>40.772627114890604</v>
      </c>
      <c r="J79" s="4">
        <f>11.8085443267*SQRT(2)</f>
        <v>16.699803538703009</v>
      </c>
      <c r="K79" s="2">
        <v>2</v>
      </c>
      <c r="L79" s="4">
        <v>33.475420627482485</v>
      </c>
      <c r="M79" s="4">
        <f>7.4025860347777*SQRT(2)</f>
        <v>10.468837567016296</v>
      </c>
      <c r="N79" s="2">
        <v>2</v>
      </c>
      <c r="O79" s="2" t="s">
        <v>95</v>
      </c>
      <c r="P79" s="2" t="s">
        <v>616</v>
      </c>
      <c r="R79" s="2" t="s">
        <v>73</v>
      </c>
      <c r="S79" s="2" t="s">
        <v>73</v>
      </c>
      <c r="T79" s="2" t="s">
        <v>73</v>
      </c>
      <c r="U79" s="2">
        <v>15</v>
      </c>
      <c r="W79" s="2">
        <v>18</v>
      </c>
      <c r="Y79" s="2" t="s">
        <v>98</v>
      </c>
      <c r="Z79" s="2">
        <v>3</v>
      </c>
      <c r="AB79" s="2" t="s">
        <v>116</v>
      </c>
      <c r="AE79" s="2" t="s">
        <v>123</v>
      </c>
      <c r="AF79" s="2" t="s">
        <v>87</v>
      </c>
      <c r="AG79" s="2" t="s">
        <v>395</v>
      </c>
    </row>
    <row r="80" spans="1:33" x14ac:dyDescent="0.2">
      <c r="A80" s="2">
        <v>84</v>
      </c>
      <c r="B80" s="2" t="s">
        <v>394</v>
      </c>
      <c r="C80" s="2" t="s">
        <v>390</v>
      </c>
      <c r="D80" s="2" t="s">
        <v>70</v>
      </c>
      <c r="E80" s="2" t="s">
        <v>71</v>
      </c>
      <c r="F80" s="2" t="s">
        <v>78</v>
      </c>
      <c r="G80" s="2">
        <v>36.170999999999999</v>
      </c>
      <c r="H80" s="4">
        <v>156.798</v>
      </c>
      <c r="I80" s="4">
        <v>7.0375331149650027</v>
      </c>
      <c r="J80" s="4">
        <f>0.560147946796256*SQRT(2)</f>
        <v>0.79216882329470817</v>
      </c>
      <c r="K80" s="2">
        <v>2</v>
      </c>
      <c r="L80" s="4">
        <v>6.4779489945001574</v>
      </c>
      <c r="M80" s="4">
        <f>0.545541038904859*SQRT(2)</f>
        <v>0.77151153605036005</v>
      </c>
      <c r="N80" s="2">
        <v>2</v>
      </c>
      <c r="O80" s="2" t="s">
        <v>95</v>
      </c>
      <c r="P80" s="2" t="s">
        <v>616</v>
      </c>
      <c r="R80" s="2" t="s">
        <v>73</v>
      </c>
      <c r="S80" s="2" t="s">
        <v>73</v>
      </c>
      <c r="T80" s="2" t="s">
        <v>73</v>
      </c>
      <c r="U80" s="2">
        <v>15</v>
      </c>
      <c r="W80" s="2">
        <v>18</v>
      </c>
      <c r="X80" s="2">
        <v>34</v>
      </c>
      <c r="Y80" s="2" t="s">
        <v>98</v>
      </c>
      <c r="Z80" s="2">
        <v>3</v>
      </c>
      <c r="AB80" s="2" t="s">
        <v>116</v>
      </c>
      <c r="AE80" s="2" t="s">
        <v>123</v>
      </c>
      <c r="AF80" s="2" t="s">
        <v>87</v>
      </c>
      <c r="AG80" s="2" t="s">
        <v>395</v>
      </c>
    </row>
    <row r="81" spans="1:33" x14ac:dyDescent="0.2">
      <c r="A81" s="2">
        <v>85</v>
      </c>
      <c r="B81" s="2" t="s">
        <v>396</v>
      </c>
      <c r="C81" s="2" t="s">
        <v>227</v>
      </c>
      <c r="D81" s="2" t="s">
        <v>84</v>
      </c>
      <c r="E81" s="2" t="s">
        <v>85</v>
      </c>
      <c r="F81" s="2" t="s">
        <v>80</v>
      </c>
      <c r="G81" s="2">
        <v>77.777777777777786</v>
      </c>
      <c r="H81" s="4">
        <v>233.33333333333334</v>
      </c>
      <c r="I81" s="4">
        <v>5.7907542579075422</v>
      </c>
      <c r="J81" s="4">
        <f>0.135713695334043*SQRT(3)</f>
        <v>0.23506301560148576</v>
      </c>
      <c r="K81" s="2">
        <v>3</v>
      </c>
      <c r="L81" s="4">
        <v>7.1475625823451923</v>
      </c>
      <c r="M81" s="4">
        <f>0.395430102115152*SQRT(3)</f>
        <v>0.68490502770559258</v>
      </c>
      <c r="N81" s="2">
        <v>3</v>
      </c>
      <c r="O81" s="2" t="s">
        <v>95</v>
      </c>
      <c r="P81" s="2" t="s">
        <v>616</v>
      </c>
      <c r="R81" s="2" t="s">
        <v>73</v>
      </c>
      <c r="S81" s="2" t="s">
        <v>73</v>
      </c>
      <c r="T81" s="2" t="s">
        <v>73</v>
      </c>
      <c r="U81" s="2">
        <v>15</v>
      </c>
      <c r="W81" s="2">
        <v>18</v>
      </c>
      <c r="X81" s="2">
        <v>34</v>
      </c>
      <c r="Y81" s="2" t="s">
        <v>98</v>
      </c>
      <c r="Z81" s="2">
        <v>25</v>
      </c>
      <c r="AB81" s="2" t="s">
        <v>116</v>
      </c>
      <c r="AE81" s="2" t="s">
        <v>142</v>
      </c>
      <c r="AF81" s="2" t="s">
        <v>73</v>
      </c>
      <c r="AG81" s="2" t="s">
        <v>397</v>
      </c>
    </row>
    <row r="82" spans="1:33" x14ac:dyDescent="0.2">
      <c r="A82" s="2">
        <v>86</v>
      </c>
      <c r="B82" s="2" t="s">
        <v>396</v>
      </c>
      <c r="C82" s="2" t="s">
        <v>227</v>
      </c>
      <c r="D82" s="2" t="s">
        <v>84</v>
      </c>
      <c r="E82" s="2" t="s">
        <v>85</v>
      </c>
      <c r="F82" s="2" t="s">
        <v>80</v>
      </c>
      <c r="G82" s="2">
        <v>152.7777777777778</v>
      </c>
      <c r="H82" s="4">
        <v>313.88888888888886</v>
      </c>
      <c r="I82" s="4">
        <v>7.2222222222222223</v>
      </c>
      <c r="J82" s="4">
        <f>0.382172136030594*SQRT(3)</f>
        <v>0.6619415568421132</v>
      </c>
      <c r="K82" s="2">
        <v>3</v>
      </c>
      <c r="L82" s="4">
        <v>7.5526315789473699</v>
      </c>
      <c r="M82" s="4">
        <f>0.46726652974528*SQRT(3)</f>
        <v>0.809329370195219</v>
      </c>
      <c r="N82" s="2">
        <v>3</v>
      </c>
      <c r="O82" s="2" t="s">
        <v>95</v>
      </c>
      <c r="P82" s="2" t="s">
        <v>616</v>
      </c>
      <c r="R82" s="2" t="s">
        <v>73</v>
      </c>
      <c r="S82" s="2" t="s">
        <v>73</v>
      </c>
      <c r="T82" s="2" t="s">
        <v>73</v>
      </c>
      <c r="U82" s="2">
        <v>15</v>
      </c>
      <c r="W82" s="2">
        <v>18</v>
      </c>
      <c r="X82" s="2">
        <v>34</v>
      </c>
      <c r="Y82" s="2" t="s">
        <v>98</v>
      </c>
      <c r="Z82" s="2">
        <v>25</v>
      </c>
      <c r="AB82" s="2" t="s">
        <v>116</v>
      </c>
      <c r="AE82" s="2" t="s">
        <v>142</v>
      </c>
      <c r="AF82" s="2" t="s">
        <v>73</v>
      </c>
      <c r="AG82" s="2" t="s">
        <v>398</v>
      </c>
    </row>
    <row r="83" spans="1:33" x14ac:dyDescent="0.2">
      <c r="A83" s="2">
        <v>87</v>
      </c>
      <c r="B83" s="2" t="s">
        <v>396</v>
      </c>
      <c r="C83" s="2" t="s">
        <v>227</v>
      </c>
      <c r="D83" s="2" t="s">
        <v>84</v>
      </c>
      <c r="E83" s="2" t="s">
        <v>85</v>
      </c>
      <c r="F83" s="2" t="s">
        <v>80</v>
      </c>
      <c r="G83" s="2">
        <v>108.33333333333334</v>
      </c>
      <c r="H83" s="4">
        <v>338.88888888888891</v>
      </c>
      <c r="I83" s="4">
        <v>6.4367816091954024</v>
      </c>
      <c r="J83" s="4">
        <v>0.35436127177261389</v>
      </c>
      <c r="K83" s="2">
        <v>3</v>
      </c>
      <c r="L83" s="4">
        <v>7.2507788161993769</v>
      </c>
      <c r="M83" s="4">
        <v>0.29813063390515976</v>
      </c>
      <c r="N83" s="2">
        <v>3</v>
      </c>
      <c r="O83" s="2" t="s">
        <v>95</v>
      </c>
      <c r="P83" s="2" t="s">
        <v>616</v>
      </c>
      <c r="R83" s="2" t="s">
        <v>73</v>
      </c>
      <c r="S83" s="2" t="s">
        <v>73</v>
      </c>
      <c r="T83" s="2" t="s">
        <v>73</v>
      </c>
      <c r="U83" s="2">
        <v>15</v>
      </c>
      <c r="W83" s="2">
        <v>18</v>
      </c>
      <c r="X83" s="2">
        <v>34</v>
      </c>
      <c r="Y83" s="2" t="s">
        <v>98</v>
      </c>
      <c r="Z83" s="2">
        <v>25</v>
      </c>
      <c r="AB83" s="2" t="s">
        <v>116</v>
      </c>
      <c r="AE83" s="2" t="s">
        <v>142</v>
      </c>
      <c r="AF83" s="2" t="s">
        <v>73</v>
      </c>
      <c r="AG83" s="2" t="s">
        <v>399</v>
      </c>
    </row>
    <row r="84" spans="1:33" x14ac:dyDescent="0.2">
      <c r="A84" s="2">
        <v>88</v>
      </c>
      <c r="B84" s="2" t="s">
        <v>396</v>
      </c>
      <c r="C84" s="2" t="s">
        <v>227</v>
      </c>
      <c r="D84" s="2" t="s">
        <v>84</v>
      </c>
      <c r="E84" s="2" t="s">
        <v>85</v>
      </c>
      <c r="F84" s="2" t="s">
        <v>80</v>
      </c>
      <c r="G84" s="2">
        <v>83.333333333333329</v>
      </c>
      <c r="H84" s="4">
        <v>175</v>
      </c>
      <c r="I84" s="4">
        <v>5.9585121602288984</v>
      </c>
      <c r="J84" s="4">
        <v>0.21472696279136405</v>
      </c>
      <c r="K84" s="2">
        <v>3</v>
      </c>
      <c r="L84" s="4">
        <v>6.7307692307692317</v>
      </c>
      <c r="M84" s="4">
        <v>0.30319887712550209</v>
      </c>
      <c r="N84" s="2">
        <v>3</v>
      </c>
      <c r="O84" s="2" t="s">
        <v>95</v>
      </c>
      <c r="P84" s="2" t="s">
        <v>616</v>
      </c>
      <c r="R84" s="2" t="s">
        <v>73</v>
      </c>
      <c r="S84" s="2" t="s">
        <v>73</v>
      </c>
      <c r="T84" s="2" t="s">
        <v>73</v>
      </c>
      <c r="U84" s="2">
        <v>15</v>
      </c>
      <c r="W84" s="2">
        <v>18</v>
      </c>
      <c r="X84" s="2">
        <v>34</v>
      </c>
      <c r="Y84" s="2" t="s">
        <v>98</v>
      </c>
      <c r="Z84" s="2">
        <v>25</v>
      </c>
      <c r="AB84" s="2" t="s">
        <v>116</v>
      </c>
      <c r="AE84" s="2" t="s">
        <v>142</v>
      </c>
      <c r="AF84" s="2" t="s">
        <v>73</v>
      </c>
      <c r="AG84" s="2" t="s">
        <v>400</v>
      </c>
    </row>
    <row r="85" spans="1:33" x14ac:dyDescent="0.2">
      <c r="A85" s="2">
        <v>89</v>
      </c>
      <c r="B85" s="2" t="s">
        <v>396</v>
      </c>
      <c r="C85" s="2" t="s">
        <v>227</v>
      </c>
      <c r="D85" s="2" t="s">
        <v>84</v>
      </c>
      <c r="E85" s="2" t="s">
        <v>85</v>
      </c>
      <c r="F85" s="2" t="s">
        <v>80</v>
      </c>
      <c r="G85" s="2">
        <v>99.999999999999986</v>
      </c>
      <c r="H85" s="4">
        <v>211.11111111111111</v>
      </c>
      <c r="I85" s="4">
        <v>6.9907407407407405</v>
      </c>
      <c r="J85" s="4">
        <v>0.144521376584065</v>
      </c>
      <c r="K85" s="2">
        <v>3</v>
      </c>
      <c r="L85" s="4">
        <v>7.7477477477477477</v>
      </c>
      <c r="M85" s="4">
        <v>0.34189733481697798</v>
      </c>
      <c r="N85" s="2">
        <v>3</v>
      </c>
      <c r="O85" s="2" t="s">
        <v>95</v>
      </c>
      <c r="P85" s="2" t="s">
        <v>616</v>
      </c>
      <c r="R85" s="2" t="s">
        <v>73</v>
      </c>
      <c r="S85" s="2" t="s">
        <v>73</v>
      </c>
      <c r="T85" s="2" t="s">
        <v>73</v>
      </c>
      <c r="U85" s="2">
        <v>15</v>
      </c>
      <c r="W85" s="2">
        <v>18</v>
      </c>
      <c r="X85" s="2">
        <v>34</v>
      </c>
      <c r="Y85" s="2" t="s">
        <v>98</v>
      </c>
      <c r="Z85" s="2">
        <v>25</v>
      </c>
      <c r="AB85" s="2" t="s">
        <v>116</v>
      </c>
      <c r="AE85" s="2" t="s">
        <v>142</v>
      </c>
      <c r="AF85" s="2" t="s">
        <v>73</v>
      </c>
      <c r="AG85" s="2" t="s">
        <v>401</v>
      </c>
    </row>
    <row r="86" spans="1:33" x14ac:dyDescent="0.2">
      <c r="A86" s="2">
        <v>90</v>
      </c>
      <c r="B86" s="2" t="s">
        <v>402</v>
      </c>
      <c r="C86" s="2" t="s">
        <v>403</v>
      </c>
      <c r="D86" s="2" t="s">
        <v>70</v>
      </c>
      <c r="E86" s="2" t="s">
        <v>71</v>
      </c>
      <c r="F86" s="2" t="s">
        <v>78</v>
      </c>
      <c r="G86" s="2">
        <v>25</v>
      </c>
      <c r="H86" s="4">
        <v>116</v>
      </c>
      <c r="I86" s="4">
        <v>33.333333333333336</v>
      </c>
      <c r="J86" s="4">
        <f>2.22222222222222*SQRT(2)</f>
        <v>3.1426968052735416</v>
      </c>
      <c r="K86" s="2">
        <v>2</v>
      </c>
      <c r="L86" s="4">
        <v>41.666666666666664</v>
      </c>
      <c r="M86" s="4">
        <f>12.1527777777778*SQRT(2)</f>
        <v>17.186623153839729</v>
      </c>
      <c r="N86" s="2">
        <v>2</v>
      </c>
      <c r="O86" s="2" t="s">
        <v>95</v>
      </c>
      <c r="P86" s="2" t="s">
        <v>616</v>
      </c>
      <c r="R86" s="2" t="s">
        <v>73</v>
      </c>
      <c r="S86" s="2" t="s">
        <v>73</v>
      </c>
      <c r="T86" s="2" t="s">
        <v>73</v>
      </c>
      <c r="U86" s="2">
        <v>15</v>
      </c>
      <c r="W86" s="2">
        <v>18</v>
      </c>
      <c r="X86" s="2">
        <v>34</v>
      </c>
      <c r="Y86" s="2" t="s">
        <v>98</v>
      </c>
      <c r="Z86" s="2">
        <v>3</v>
      </c>
      <c r="AB86" s="2" t="s">
        <v>116</v>
      </c>
      <c r="AE86" s="2" t="s">
        <v>189</v>
      </c>
      <c r="AF86" s="2" t="s">
        <v>87</v>
      </c>
      <c r="AG86" s="2" t="s">
        <v>404</v>
      </c>
    </row>
    <row r="87" spans="1:33" x14ac:dyDescent="0.2">
      <c r="A87" s="2">
        <v>91</v>
      </c>
      <c r="B87" s="2" t="s">
        <v>402</v>
      </c>
      <c r="C87" s="2" t="s">
        <v>403</v>
      </c>
      <c r="D87" s="2" t="s">
        <v>70</v>
      </c>
      <c r="E87" s="2" t="s">
        <v>71</v>
      </c>
      <c r="F87" s="2" t="s">
        <v>80</v>
      </c>
      <c r="G87" s="2">
        <v>25</v>
      </c>
      <c r="H87" s="4">
        <v>116</v>
      </c>
      <c r="I87" s="4">
        <v>3.1446540880503142</v>
      </c>
      <c r="J87" s="4">
        <f>0.0889996440014241*SQRT(2)</f>
        <v>0.12586450359319123</v>
      </c>
      <c r="K87" s="2">
        <v>2</v>
      </c>
      <c r="L87" s="4">
        <v>4.8309178743961354</v>
      </c>
      <c r="M87" s="4">
        <f>0.420079815164882*SQRT(2)</f>
        <v>0.59408257188535918</v>
      </c>
      <c r="N87" s="2">
        <v>2</v>
      </c>
      <c r="O87" s="2" t="s">
        <v>95</v>
      </c>
      <c r="P87" s="2" t="s">
        <v>616</v>
      </c>
      <c r="R87" s="2" t="s">
        <v>73</v>
      </c>
      <c r="S87" s="2" t="s">
        <v>73</v>
      </c>
      <c r="T87" s="2" t="s">
        <v>73</v>
      </c>
      <c r="U87" s="2">
        <v>15</v>
      </c>
      <c r="W87" s="2">
        <v>18</v>
      </c>
      <c r="X87" s="2">
        <v>34</v>
      </c>
      <c r="Y87" s="2" t="s">
        <v>98</v>
      </c>
      <c r="Z87" s="2">
        <v>3</v>
      </c>
      <c r="AB87" s="2" t="s">
        <v>116</v>
      </c>
      <c r="AE87" s="2" t="s">
        <v>189</v>
      </c>
      <c r="AF87" s="2" t="s">
        <v>87</v>
      </c>
      <c r="AG87" s="2" t="s">
        <v>404</v>
      </c>
    </row>
    <row r="88" spans="1:33" x14ac:dyDescent="0.2">
      <c r="A88" s="2">
        <v>92</v>
      </c>
      <c r="B88" s="2" t="s">
        <v>408</v>
      </c>
      <c r="C88" s="2" t="s">
        <v>409</v>
      </c>
      <c r="D88" s="2" t="s">
        <v>84</v>
      </c>
      <c r="E88" s="2" t="s">
        <v>85</v>
      </c>
      <c r="F88" s="2" t="s">
        <v>78</v>
      </c>
      <c r="G88" s="2">
        <v>25</v>
      </c>
      <c r="H88" s="4">
        <v>250</v>
      </c>
      <c r="I88" s="4">
        <v>55.71583804852196</v>
      </c>
      <c r="J88" s="4">
        <v>4.9698408663945077</v>
      </c>
      <c r="K88" s="2">
        <v>3</v>
      </c>
      <c r="L88" s="4">
        <v>62.629150198216124</v>
      </c>
      <c r="M88" s="4">
        <v>4.7399060419211008</v>
      </c>
      <c r="N88" s="2">
        <v>3</v>
      </c>
      <c r="O88" s="2" t="s">
        <v>75</v>
      </c>
      <c r="P88" s="2" t="s">
        <v>616</v>
      </c>
      <c r="R88" s="2" t="s">
        <v>73</v>
      </c>
      <c r="S88" s="2" t="s">
        <v>73</v>
      </c>
      <c r="T88" s="2" t="s">
        <v>73</v>
      </c>
      <c r="U88" s="2">
        <v>20</v>
      </c>
      <c r="W88" s="2">
        <v>24</v>
      </c>
      <c r="Y88" s="2" t="s">
        <v>89</v>
      </c>
      <c r="AA88" s="2" t="s">
        <v>87</v>
      </c>
      <c r="AB88" s="2" t="s">
        <v>116</v>
      </c>
      <c r="AE88" s="2" t="s">
        <v>104</v>
      </c>
      <c r="AF88" s="2" t="s">
        <v>73</v>
      </c>
      <c r="AG88" s="2" t="s">
        <v>410</v>
      </c>
    </row>
    <row r="89" spans="1:33" x14ac:dyDescent="0.2">
      <c r="A89" s="2">
        <v>93</v>
      </c>
      <c r="B89" s="2" t="s">
        <v>408</v>
      </c>
      <c r="C89" s="2" t="s">
        <v>409</v>
      </c>
      <c r="D89" s="2" t="s">
        <v>84</v>
      </c>
      <c r="E89" s="2" t="s">
        <v>85</v>
      </c>
      <c r="F89" s="2" t="s">
        <v>80</v>
      </c>
      <c r="G89" s="2">
        <v>25</v>
      </c>
      <c r="H89" s="4">
        <v>250</v>
      </c>
      <c r="I89" s="4">
        <v>4.4365739462023184</v>
      </c>
      <c r="J89" s="4">
        <v>0.86019992430197201</v>
      </c>
      <c r="K89" s="2">
        <v>3</v>
      </c>
      <c r="L89" s="4">
        <v>6.1526320065757476</v>
      </c>
      <c r="M89" s="4">
        <v>0.73218268473933268</v>
      </c>
      <c r="N89" s="2">
        <v>3</v>
      </c>
      <c r="O89" s="2" t="s">
        <v>75</v>
      </c>
      <c r="P89" s="2" t="s">
        <v>616</v>
      </c>
      <c r="R89" s="2" t="s">
        <v>73</v>
      </c>
      <c r="S89" s="2" t="s">
        <v>73</v>
      </c>
      <c r="T89" s="2" t="s">
        <v>73</v>
      </c>
      <c r="U89" s="2">
        <v>20</v>
      </c>
      <c r="W89" s="2">
        <v>24</v>
      </c>
      <c r="Y89" s="2" t="s">
        <v>89</v>
      </c>
      <c r="AA89" s="2" t="s">
        <v>87</v>
      </c>
      <c r="AB89" s="2" t="s">
        <v>116</v>
      </c>
      <c r="AE89" s="2" t="s">
        <v>104</v>
      </c>
      <c r="AF89" s="2" t="s">
        <v>73</v>
      </c>
      <c r="AG89" s="2" t="s">
        <v>410</v>
      </c>
    </row>
    <row r="90" spans="1:33" x14ac:dyDescent="0.2">
      <c r="A90" s="2">
        <v>94</v>
      </c>
      <c r="B90" s="2" t="s">
        <v>418</v>
      </c>
      <c r="C90" s="2" t="s">
        <v>237</v>
      </c>
      <c r="D90" s="2" t="s">
        <v>84</v>
      </c>
      <c r="E90" s="2" t="s">
        <v>85</v>
      </c>
      <c r="F90" s="2" t="s">
        <v>80</v>
      </c>
      <c r="G90" s="2">
        <v>35</v>
      </c>
      <c r="H90" s="4">
        <v>65</v>
      </c>
      <c r="I90" s="4">
        <f>6.5/12*14</f>
        <v>7.583333333333333</v>
      </c>
      <c r="J90" s="4">
        <f>0.2/12*14*SQRT(4)</f>
        <v>0.46666666666666667</v>
      </c>
      <c r="K90" s="2">
        <v>4</v>
      </c>
      <c r="L90" s="4">
        <f>4.8/12*14</f>
        <v>5.6</v>
      </c>
      <c r="M90" s="4">
        <f>0.1/12*14*SQRT(3)</f>
        <v>0.202072594216369</v>
      </c>
      <c r="N90" s="2">
        <v>3</v>
      </c>
      <c r="O90" s="2" t="s">
        <v>75</v>
      </c>
      <c r="P90" s="2" t="s">
        <v>34</v>
      </c>
      <c r="R90" s="2" t="s">
        <v>73</v>
      </c>
      <c r="S90" s="2" t="s">
        <v>73</v>
      </c>
      <c r="T90" s="2" t="s">
        <v>73</v>
      </c>
      <c r="U90" s="2">
        <v>20</v>
      </c>
      <c r="W90" s="2">
        <v>14</v>
      </c>
      <c r="X90" s="2">
        <v>33</v>
      </c>
      <c r="Y90" s="2" t="s">
        <v>98</v>
      </c>
      <c r="Z90" s="2">
        <v>8</v>
      </c>
      <c r="AB90" s="2" t="s">
        <v>116</v>
      </c>
      <c r="AE90" s="2" t="s">
        <v>104</v>
      </c>
      <c r="AF90" s="2" t="s">
        <v>73</v>
      </c>
      <c r="AG90" s="2" t="s">
        <v>421</v>
      </c>
    </row>
    <row r="91" spans="1:33" x14ac:dyDescent="0.2">
      <c r="A91" s="2">
        <v>95</v>
      </c>
      <c r="B91" s="2" t="s">
        <v>418</v>
      </c>
      <c r="C91" s="2" t="s">
        <v>237</v>
      </c>
      <c r="D91" s="2" t="s">
        <v>84</v>
      </c>
      <c r="E91" s="2" t="s">
        <v>85</v>
      </c>
      <c r="F91" s="2" t="s">
        <v>80</v>
      </c>
      <c r="G91" s="2">
        <v>35</v>
      </c>
      <c r="H91" s="4">
        <v>65</v>
      </c>
      <c r="I91" s="4">
        <f>6/12*14</f>
        <v>7</v>
      </c>
      <c r="J91" s="4">
        <f>0.1/12*14*SQRT(4)</f>
        <v>0.23333333333333334</v>
      </c>
      <c r="K91" s="2">
        <v>4</v>
      </c>
      <c r="L91" s="4">
        <f>5.7/12*14</f>
        <v>6.65</v>
      </c>
      <c r="M91" s="4">
        <f>0.2/12*14*SQRT(3)</f>
        <v>0.404145188432738</v>
      </c>
      <c r="N91" s="2">
        <v>3</v>
      </c>
      <c r="O91" s="2" t="s">
        <v>75</v>
      </c>
      <c r="P91" s="2" t="s">
        <v>34</v>
      </c>
      <c r="R91" s="2" t="s">
        <v>73</v>
      </c>
      <c r="S91" s="2" t="s">
        <v>73</v>
      </c>
      <c r="T91" s="2" t="s">
        <v>73</v>
      </c>
      <c r="U91" s="2">
        <v>20</v>
      </c>
      <c r="W91" s="2">
        <v>14</v>
      </c>
      <c r="X91" s="2">
        <v>33</v>
      </c>
      <c r="Y91" s="2" t="s">
        <v>98</v>
      </c>
      <c r="Z91" s="2">
        <v>8</v>
      </c>
      <c r="AB91" s="2" t="s">
        <v>116</v>
      </c>
      <c r="AE91" s="2" t="s">
        <v>104</v>
      </c>
      <c r="AF91" s="2" t="s">
        <v>73</v>
      </c>
      <c r="AG91" s="2" t="s">
        <v>422</v>
      </c>
    </row>
    <row r="92" spans="1:33" x14ac:dyDescent="0.2">
      <c r="A92" s="2">
        <v>96</v>
      </c>
      <c r="B92" s="2" t="s">
        <v>423</v>
      </c>
      <c r="C92" s="2" t="s">
        <v>236</v>
      </c>
      <c r="D92" s="2" t="s">
        <v>121</v>
      </c>
      <c r="E92" s="2" t="s">
        <v>122</v>
      </c>
      <c r="F92" s="2" t="s">
        <v>78</v>
      </c>
      <c r="G92" s="2">
        <v>30</v>
      </c>
      <c r="H92" s="4">
        <v>140</v>
      </c>
      <c r="I92" s="4">
        <v>158</v>
      </c>
      <c r="J92" s="4">
        <v>2.5099999999999998</v>
      </c>
      <c r="K92" s="6">
        <v>6</v>
      </c>
      <c r="L92" s="4">
        <v>173</v>
      </c>
      <c r="M92" s="4">
        <v>14</v>
      </c>
      <c r="N92" s="2">
        <v>6</v>
      </c>
      <c r="O92" s="2" t="s">
        <v>95</v>
      </c>
      <c r="P92" s="2" t="s">
        <v>616</v>
      </c>
      <c r="R92" s="2" t="s">
        <v>73</v>
      </c>
      <c r="S92" s="2" t="s">
        <v>73</v>
      </c>
      <c r="T92" s="2" t="s">
        <v>73</v>
      </c>
      <c r="U92" s="2">
        <v>20</v>
      </c>
      <c r="W92" s="2">
        <v>12</v>
      </c>
      <c r="X92" s="2">
        <v>34.700000000000003</v>
      </c>
      <c r="Y92" s="2" t="s">
        <v>98</v>
      </c>
      <c r="AB92" s="2" t="s">
        <v>116</v>
      </c>
      <c r="AE92" s="2" t="s">
        <v>104</v>
      </c>
      <c r="AF92" s="2" t="s">
        <v>73</v>
      </c>
      <c r="AG92" s="2" t="s">
        <v>426</v>
      </c>
    </row>
    <row r="93" spans="1:33" x14ac:dyDescent="0.2">
      <c r="A93" s="2">
        <v>97</v>
      </c>
      <c r="B93" s="2" t="s">
        <v>423</v>
      </c>
      <c r="C93" s="2" t="s">
        <v>236</v>
      </c>
      <c r="D93" s="2" t="s">
        <v>121</v>
      </c>
      <c r="E93" s="2" t="s">
        <v>122</v>
      </c>
      <c r="F93" s="2" t="s">
        <v>80</v>
      </c>
      <c r="G93" s="2">
        <v>30</v>
      </c>
      <c r="H93" s="4">
        <v>140</v>
      </c>
      <c r="I93" s="4">
        <v>6.46</v>
      </c>
      <c r="J93" s="4">
        <v>0.28000000000000003</v>
      </c>
      <c r="K93" s="6">
        <v>6</v>
      </c>
      <c r="L93" s="4">
        <v>8.7200000000000006</v>
      </c>
      <c r="M93" s="4">
        <v>1.45</v>
      </c>
      <c r="N93" s="2">
        <v>6</v>
      </c>
      <c r="O93" s="2" t="s">
        <v>95</v>
      </c>
      <c r="P93" s="2" t="s">
        <v>616</v>
      </c>
      <c r="R93" s="2" t="s">
        <v>73</v>
      </c>
      <c r="S93" s="2" t="s">
        <v>73</v>
      </c>
      <c r="T93" s="2" t="s">
        <v>73</v>
      </c>
      <c r="U93" s="2">
        <v>20</v>
      </c>
      <c r="W93" s="2">
        <v>12</v>
      </c>
      <c r="X93" s="2">
        <v>34.700000000000003</v>
      </c>
      <c r="Y93" s="2" t="s">
        <v>98</v>
      </c>
      <c r="AB93" s="2" t="s">
        <v>116</v>
      </c>
      <c r="AE93" s="2" t="s">
        <v>104</v>
      </c>
      <c r="AF93" s="2" t="s">
        <v>73</v>
      </c>
      <c r="AG93" s="2" t="s">
        <v>426</v>
      </c>
    </row>
    <row r="94" spans="1:33" x14ac:dyDescent="0.2">
      <c r="A94" s="2">
        <v>98</v>
      </c>
      <c r="B94" s="2" t="s">
        <v>427</v>
      </c>
      <c r="C94" s="2" t="s">
        <v>428</v>
      </c>
      <c r="D94" s="2" t="s">
        <v>105</v>
      </c>
      <c r="E94" s="2" t="s">
        <v>106</v>
      </c>
      <c r="F94" s="2" t="s">
        <v>78</v>
      </c>
      <c r="G94" s="2">
        <v>30</v>
      </c>
      <c r="H94" s="4">
        <v>120</v>
      </c>
      <c r="I94" s="4">
        <v>153.90600000000001</v>
      </c>
      <c r="J94" s="4">
        <f>18.804*SQRT(3)</f>
        <v>32.569483385525167</v>
      </c>
      <c r="K94" s="2">
        <v>3</v>
      </c>
      <c r="L94" s="4">
        <v>352.36</v>
      </c>
      <c r="M94" s="4">
        <f>14.314*SQRT(3)</f>
        <v>24.792575259540907</v>
      </c>
      <c r="N94" s="2">
        <v>3</v>
      </c>
      <c r="O94" s="2" t="s">
        <v>95</v>
      </c>
      <c r="R94" s="2" t="s">
        <v>73</v>
      </c>
      <c r="S94" s="2" t="s">
        <v>87</v>
      </c>
      <c r="T94" s="2" t="s">
        <v>73</v>
      </c>
      <c r="U94" s="2">
        <v>18</v>
      </c>
      <c r="W94" s="2">
        <v>12</v>
      </c>
      <c r="Y94" s="2" t="s">
        <v>98</v>
      </c>
      <c r="AB94" s="2" t="s">
        <v>116</v>
      </c>
      <c r="AE94" s="2" t="s">
        <v>138</v>
      </c>
      <c r="AF94" s="2" t="s">
        <v>87</v>
      </c>
      <c r="AG94" s="2" t="s">
        <v>433</v>
      </c>
    </row>
    <row r="95" spans="1:33" x14ac:dyDescent="0.2">
      <c r="A95" s="2">
        <v>99</v>
      </c>
      <c r="B95" s="2" t="s">
        <v>427</v>
      </c>
      <c r="C95" s="2" t="s">
        <v>428</v>
      </c>
      <c r="D95" s="2" t="s">
        <v>105</v>
      </c>
      <c r="E95" s="2" t="s">
        <v>106</v>
      </c>
      <c r="F95" s="2" t="s">
        <v>80</v>
      </c>
      <c r="G95" s="2">
        <v>30</v>
      </c>
      <c r="H95" s="4">
        <v>120</v>
      </c>
      <c r="I95" s="4">
        <v>7.6230000000000002</v>
      </c>
      <c r="J95" s="4">
        <f>1.201*SQRT(3)</f>
        <v>2.0801930198902214</v>
      </c>
      <c r="K95" s="2">
        <v>3</v>
      </c>
      <c r="L95" s="4">
        <v>19.98</v>
      </c>
      <c r="M95" s="4">
        <f>1.626*SQRT(3)</f>
        <v>2.8163146131069943</v>
      </c>
      <c r="N95" s="2">
        <v>3</v>
      </c>
      <c r="O95" s="2" t="s">
        <v>95</v>
      </c>
      <c r="R95" s="2" t="s">
        <v>73</v>
      </c>
      <c r="S95" s="2" t="s">
        <v>87</v>
      </c>
      <c r="T95" s="2" t="s">
        <v>73</v>
      </c>
      <c r="U95" s="2">
        <v>18</v>
      </c>
      <c r="W95" s="2">
        <v>12</v>
      </c>
      <c r="Y95" s="2" t="s">
        <v>98</v>
      </c>
      <c r="AB95" s="2" t="s">
        <v>116</v>
      </c>
      <c r="AE95" s="2" t="s">
        <v>138</v>
      </c>
      <c r="AF95" s="2" t="s">
        <v>87</v>
      </c>
      <c r="AG95" s="2" t="s">
        <v>433</v>
      </c>
    </row>
    <row r="96" spans="1:33" x14ac:dyDescent="0.2">
      <c r="A96" s="2">
        <v>100</v>
      </c>
      <c r="B96" s="2" t="s">
        <v>427</v>
      </c>
      <c r="C96" s="2" t="s">
        <v>428</v>
      </c>
      <c r="D96" s="2" t="s">
        <v>105</v>
      </c>
      <c r="E96" s="2" t="s">
        <v>106</v>
      </c>
      <c r="F96" s="2" t="s">
        <v>78</v>
      </c>
      <c r="G96" s="2">
        <v>30</v>
      </c>
      <c r="H96" s="4">
        <v>120</v>
      </c>
      <c r="I96" s="4">
        <v>118.057</v>
      </c>
      <c r="J96" s="4">
        <f>16.482*SQRT(3)</f>
        <v>28.547661410350234</v>
      </c>
      <c r="K96" s="2">
        <v>3</v>
      </c>
      <c r="L96" s="4">
        <v>414.36099999999999</v>
      </c>
      <c r="M96" s="4">
        <f>45.213*SQRT(3)</f>
        <v>78.311213162611651</v>
      </c>
      <c r="N96" s="2">
        <v>3</v>
      </c>
      <c r="O96" s="2" t="s">
        <v>95</v>
      </c>
      <c r="R96" s="2" t="s">
        <v>73</v>
      </c>
      <c r="S96" s="2" t="s">
        <v>73</v>
      </c>
      <c r="T96" s="2" t="s">
        <v>73</v>
      </c>
      <c r="U96" s="2">
        <v>18</v>
      </c>
      <c r="W96" s="2">
        <v>12</v>
      </c>
      <c r="Y96" s="2" t="s">
        <v>98</v>
      </c>
      <c r="AB96" s="2" t="s">
        <v>116</v>
      </c>
      <c r="AE96" s="2" t="s">
        <v>138</v>
      </c>
      <c r="AF96" s="2" t="s">
        <v>87</v>
      </c>
      <c r="AG96" s="2" t="s">
        <v>434</v>
      </c>
    </row>
    <row r="97" spans="1:33" x14ac:dyDescent="0.2">
      <c r="A97" s="2">
        <v>101</v>
      </c>
      <c r="B97" s="2" t="s">
        <v>427</v>
      </c>
      <c r="C97" s="2" t="s">
        <v>428</v>
      </c>
      <c r="D97" s="2" t="s">
        <v>105</v>
      </c>
      <c r="E97" s="2" t="s">
        <v>106</v>
      </c>
      <c r="F97" s="2" t="s">
        <v>80</v>
      </c>
      <c r="G97" s="2">
        <v>30</v>
      </c>
      <c r="H97" s="4">
        <v>120</v>
      </c>
      <c r="I97" s="4">
        <v>7.6230000000000002</v>
      </c>
      <c r="J97" s="4">
        <f>0.883*SQRT(3)</f>
        <v>1.5294008630833187</v>
      </c>
      <c r="K97" s="2">
        <v>3</v>
      </c>
      <c r="L97" s="4">
        <v>8.2050000000000001</v>
      </c>
      <c r="M97" s="4">
        <f>1.405*SQRT(3)</f>
        <v>2.4335313846342723</v>
      </c>
      <c r="N97" s="2">
        <v>3</v>
      </c>
      <c r="O97" s="2" t="s">
        <v>95</v>
      </c>
      <c r="R97" s="2" t="s">
        <v>73</v>
      </c>
      <c r="S97" s="2" t="s">
        <v>73</v>
      </c>
      <c r="T97" s="2" t="s">
        <v>73</v>
      </c>
      <c r="U97" s="2">
        <v>18</v>
      </c>
      <c r="W97" s="2">
        <v>12</v>
      </c>
      <c r="Y97" s="2" t="s">
        <v>98</v>
      </c>
      <c r="AB97" s="2" t="s">
        <v>116</v>
      </c>
      <c r="AE97" s="2" t="s">
        <v>138</v>
      </c>
      <c r="AF97" s="2" t="s">
        <v>87</v>
      </c>
      <c r="AG97" s="2" t="s">
        <v>434</v>
      </c>
    </row>
    <row r="98" spans="1:33" x14ac:dyDescent="0.2">
      <c r="A98" s="2">
        <v>102</v>
      </c>
      <c r="B98" s="2" t="s">
        <v>427</v>
      </c>
      <c r="C98" s="2" t="s">
        <v>431</v>
      </c>
      <c r="D98" s="2" t="s">
        <v>135</v>
      </c>
      <c r="E98" s="2" t="s">
        <v>106</v>
      </c>
      <c r="F98" s="2" t="s">
        <v>78</v>
      </c>
      <c r="G98" s="2">
        <v>30</v>
      </c>
      <c r="H98" s="4">
        <v>120</v>
      </c>
      <c r="I98" s="4">
        <v>58.557000000000002</v>
      </c>
      <c r="J98" s="4">
        <f>16.304*SQRT(3)</f>
        <v>28.239356366602973</v>
      </c>
      <c r="K98" s="2">
        <v>3</v>
      </c>
      <c r="L98" s="4">
        <v>83.561000000000007</v>
      </c>
      <c r="M98" s="4">
        <f>21.968*SQRT(3)</f>
        <v>38.049692140673095</v>
      </c>
      <c r="N98" s="2">
        <v>3</v>
      </c>
      <c r="O98" s="2" t="s">
        <v>95</v>
      </c>
      <c r="R98" s="2" t="s">
        <v>73</v>
      </c>
      <c r="S98" s="2" t="s">
        <v>87</v>
      </c>
      <c r="T98" s="2" t="s">
        <v>73</v>
      </c>
      <c r="U98" s="2">
        <v>18</v>
      </c>
      <c r="W98" s="2">
        <v>12</v>
      </c>
      <c r="Y98" s="2" t="s">
        <v>98</v>
      </c>
      <c r="AB98" s="2" t="s">
        <v>116</v>
      </c>
      <c r="AE98" s="2" t="s">
        <v>138</v>
      </c>
      <c r="AF98" s="2" t="s">
        <v>87</v>
      </c>
      <c r="AG98" s="2" t="s">
        <v>433</v>
      </c>
    </row>
    <row r="99" spans="1:33" x14ac:dyDescent="0.2">
      <c r="A99" s="2">
        <v>103</v>
      </c>
      <c r="B99" s="2" t="s">
        <v>427</v>
      </c>
      <c r="C99" s="2" t="s">
        <v>431</v>
      </c>
      <c r="D99" s="2" t="s">
        <v>135</v>
      </c>
      <c r="E99" s="2" t="s">
        <v>106</v>
      </c>
      <c r="F99" s="2" t="s">
        <v>80</v>
      </c>
      <c r="G99" s="2">
        <v>30</v>
      </c>
      <c r="H99" s="4">
        <v>120</v>
      </c>
      <c r="I99" s="4">
        <v>7.58</v>
      </c>
      <c r="J99" s="4">
        <f>1.524*SQRT(3)</f>
        <v>2.6396454307349688</v>
      </c>
      <c r="K99" s="2">
        <v>3</v>
      </c>
      <c r="L99" s="4">
        <v>35.401000000000003</v>
      </c>
      <c r="M99" s="4">
        <f>1.175*SQRT(3)</f>
        <v>2.0351596988934308</v>
      </c>
      <c r="N99" s="2">
        <v>3</v>
      </c>
      <c r="O99" s="2" t="s">
        <v>95</v>
      </c>
      <c r="R99" s="2" t="s">
        <v>73</v>
      </c>
      <c r="S99" s="2" t="s">
        <v>87</v>
      </c>
      <c r="T99" s="2" t="s">
        <v>73</v>
      </c>
      <c r="U99" s="2">
        <v>18</v>
      </c>
      <c r="W99" s="2">
        <v>12</v>
      </c>
      <c r="Y99" s="2" t="s">
        <v>98</v>
      </c>
      <c r="AB99" s="2" t="s">
        <v>116</v>
      </c>
      <c r="AE99" s="2" t="s">
        <v>138</v>
      </c>
      <c r="AF99" s="2" t="s">
        <v>87</v>
      </c>
      <c r="AG99" s="2" t="s">
        <v>433</v>
      </c>
    </row>
    <row r="100" spans="1:33" x14ac:dyDescent="0.2">
      <c r="A100" s="2">
        <v>104</v>
      </c>
      <c r="B100" s="2" t="s">
        <v>427</v>
      </c>
      <c r="C100" s="2" t="s">
        <v>431</v>
      </c>
      <c r="D100" s="2" t="s">
        <v>135</v>
      </c>
      <c r="E100" s="2" t="s">
        <v>106</v>
      </c>
      <c r="F100" s="2" t="s">
        <v>78</v>
      </c>
      <c r="G100" s="2">
        <v>30</v>
      </c>
      <c r="H100" s="4">
        <v>120</v>
      </c>
      <c r="I100" s="4">
        <v>46.386000000000003</v>
      </c>
      <c r="J100" s="4">
        <f>15.35*SQRT(3)</f>
        <v>26.586979896182264</v>
      </c>
      <c r="K100" s="2">
        <v>3</v>
      </c>
      <c r="L100" s="4">
        <v>485.49700000000001</v>
      </c>
      <c r="M100" s="4">
        <f>49.269*SQRT(3)</f>
        <v>85.336411238111012</v>
      </c>
      <c r="N100" s="2">
        <v>3</v>
      </c>
      <c r="O100" s="2" t="s">
        <v>95</v>
      </c>
      <c r="R100" s="2" t="s">
        <v>73</v>
      </c>
      <c r="S100" s="2" t="s">
        <v>73</v>
      </c>
      <c r="T100" s="2" t="s">
        <v>73</v>
      </c>
      <c r="U100" s="2">
        <v>18</v>
      </c>
      <c r="W100" s="2">
        <v>12</v>
      </c>
      <c r="Y100" s="2" t="s">
        <v>98</v>
      </c>
      <c r="AB100" s="2" t="s">
        <v>116</v>
      </c>
      <c r="AE100" s="2" t="s">
        <v>138</v>
      </c>
      <c r="AF100" s="2" t="s">
        <v>87</v>
      </c>
      <c r="AG100" s="2" t="s">
        <v>434</v>
      </c>
    </row>
    <row r="101" spans="1:33" x14ac:dyDescent="0.2">
      <c r="A101" s="2">
        <v>105</v>
      </c>
      <c r="B101" s="2" t="s">
        <v>427</v>
      </c>
      <c r="C101" s="2" t="s">
        <v>431</v>
      </c>
      <c r="D101" s="2" t="s">
        <v>135</v>
      </c>
      <c r="E101" s="2" t="s">
        <v>106</v>
      </c>
      <c r="F101" s="2" t="s">
        <v>80</v>
      </c>
      <c r="G101" s="2">
        <v>30</v>
      </c>
      <c r="H101" s="4">
        <v>120</v>
      </c>
      <c r="I101" s="4">
        <v>7.2469999999999999</v>
      </c>
      <c r="J101" s="4">
        <f>1.057*SQRT(3)</f>
        <v>1.830777703600303</v>
      </c>
      <c r="K101" s="2">
        <v>3</v>
      </c>
      <c r="L101" s="4">
        <v>11.032</v>
      </c>
      <c r="M101" s="4">
        <f>1.313*SQRT(3)</f>
        <v>2.2741827103379357</v>
      </c>
      <c r="N101" s="2">
        <v>3</v>
      </c>
      <c r="O101" s="2" t="s">
        <v>95</v>
      </c>
      <c r="R101" s="2" t="s">
        <v>73</v>
      </c>
      <c r="S101" s="2" t="s">
        <v>73</v>
      </c>
      <c r="T101" s="2" t="s">
        <v>73</v>
      </c>
      <c r="U101" s="2">
        <v>18</v>
      </c>
      <c r="W101" s="2">
        <v>12</v>
      </c>
      <c r="Y101" s="2" t="s">
        <v>98</v>
      </c>
      <c r="AB101" s="2" t="s">
        <v>116</v>
      </c>
      <c r="AE101" s="2" t="s">
        <v>138</v>
      </c>
      <c r="AF101" s="2" t="s">
        <v>87</v>
      </c>
      <c r="AG101" s="2" t="s">
        <v>434</v>
      </c>
    </row>
    <row r="102" spans="1:33" x14ac:dyDescent="0.2">
      <c r="A102" s="2">
        <v>106</v>
      </c>
      <c r="B102" s="2" t="s">
        <v>427</v>
      </c>
      <c r="C102" s="2" t="s">
        <v>227</v>
      </c>
      <c r="D102" s="2" t="s">
        <v>84</v>
      </c>
      <c r="E102" s="2" t="s">
        <v>85</v>
      </c>
      <c r="F102" s="2" t="s">
        <v>78</v>
      </c>
      <c r="G102" s="2">
        <v>30</v>
      </c>
      <c r="H102" s="4">
        <v>120</v>
      </c>
      <c r="I102" s="4">
        <v>99.915999999999997</v>
      </c>
      <c r="J102" s="4">
        <f>17.223*SQRT(3)</f>
        <v>29.831111058758768</v>
      </c>
      <c r="K102" s="2">
        <v>3</v>
      </c>
      <c r="L102" s="4">
        <v>136.19800000000001</v>
      </c>
      <c r="M102" s="4">
        <f>18.396*SQRT(3)</f>
        <v>31.862806656037066</v>
      </c>
      <c r="N102" s="2">
        <v>3</v>
      </c>
      <c r="O102" s="2" t="s">
        <v>95</v>
      </c>
      <c r="R102" s="2" t="s">
        <v>73</v>
      </c>
      <c r="S102" s="2" t="s">
        <v>87</v>
      </c>
      <c r="T102" s="2" t="s">
        <v>73</v>
      </c>
      <c r="U102" s="2">
        <v>18</v>
      </c>
      <c r="W102" s="2">
        <v>12</v>
      </c>
      <c r="Y102" s="2" t="s">
        <v>98</v>
      </c>
      <c r="AB102" s="2" t="s">
        <v>116</v>
      </c>
      <c r="AE102" s="2" t="s">
        <v>138</v>
      </c>
      <c r="AF102" s="2" t="s">
        <v>87</v>
      </c>
      <c r="AG102" s="2" t="s">
        <v>433</v>
      </c>
    </row>
    <row r="103" spans="1:33" x14ac:dyDescent="0.2">
      <c r="A103" s="2">
        <v>107</v>
      </c>
      <c r="B103" s="2" t="s">
        <v>427</v>
      </c>
      <c r="C103" s="2" t="s">
        <v>227</v>
      </c>
      <c r="D103" s="2" t="s">
        <v>84</v>
      </c>
      <c r="E103" s="2" t="s">
        <v>85</v>
      </c>
      <c r="F103" s="2" t="s">
        <v>80</v>
      </c>
      <c r="G103" s="2">
        <v>30</v>
      </c>
      <c r="H103" s="4">
        <v>120</v>
      </c>
      <c r="I103" s="4">
        <v>8.4659999999999993</v>
      </c>
      <c r="J103" s="4">
        <f>1.055*SQRT(3)</f>
        <v>1.8273136019851652</v>
      </c>
      <c r="K103" s="2">
        <v>3</v>
      </c>
      <c r="L103" s="4">
        <v>35.476999999999997</v>
      </c>
      <c r="M103" s="4">
        <f>2.456*SQRT(3)</f>
        <v>4.2539167833891627</v>
      </c>
      <c r="N103" s="2">
        <v>3</v>
      </c>
      <c r="O103" s="2" t="s">
        <v>95</v>
      </c>
      <c r="R103" s="2" t="s">
        <v>73</v>
      </c>
      <c r="S103" s="2" t="s">
        <v>87</v>
      </c>
      <c r="T103" s="2" t="s">
        <v>73</v>
      </c>
      <c r="U103" s="2">
        <v>18</v>
      </c>
      <c r="W103" s="2">
        <v>12</v>
      </c>
      <c r="Y103" s="2" t="s">
        <v>98</v>
      </c>
      <c r="AB103" s="2" t="s">
        <v>116</v>
      </c>
      <c r="AE103" s="2" t="s">
        <v>138</v>
      </c>
      <c r="AF103" s="2" t="s">
        <v>87</v>
      </c>
      <c r="AG103" s="2" t="s">
        <v>433</v>
      </c>
    </row>
    <row r="104" spans="1:33" x14ac:dyDescent="0.2">
      <c r="A104" s="2">
        <v>108</v>
      </c>
      <c r="B104" s="2" t="s">
        <v>427</v>
      </c>
      <c r="C104" s="2" t="s">
        <v>227</v>
      </c>
      <c r="D104" s="2" t="s">
        <v>84</v>
      </c>
      <c r="E104" s="2" t="s">
        <v>85</v>
      </c>
      <c r="F104" s="2" t="s">
        <v>78</v>
      </c>
      <c r="G104" s="2">
        <v>30</v>
      </c>
      <c r="H104" s="4">
        <v>120</v>
      </c>
      <c r="I104" s="4">
        <v>78.228999999999999</v>
      </c>
      <c r="J104" s="4">
        <f>15.283*SQRT(3)</f>
        <v>26.47093249207515</v>
      </c>
      <c r="K104" s="2">
        <v>3</v>
      </c>
      <c r="L104" s="4">
        <v>258.08300000000003</v>
      </c>
      <c r="M104" s="4">
        <f>22.274*SQRT(3)</f>
        <v>38.579699687789173</v>
      </c>
      <c r="N104" s="2">
        <v>3</v>
      </c>
      <c r="O104" s="2" t="s">
        <v>95</v>
      </c>
      <c r="R104" s="2" t="s">
        <v>73</v>
      </c>
      <c r="S104" s="2" t="s">
        <v>73</v>
      </c>
      <c r="T104" s="2" t="s">
        <v>73</v>
      </c>
      <c r="U104" s="2">
        <v>18</v>
      </c>
      <c r="W104" s="2">
        <v>12</v>
      </c>
      <c r="Y104" s="2" t="s">
        <v>98</v>
      </c>
      <c r="AB104" s="2" t="s">
        <v>116</v>
      </c>
      <c r="AE104" s="2" t="s">
        <v>138</v>
      </c>
      <c r="AF104" s="2" t="s">
        <v>87</v>
      </c>
      <c r="AG104" s="2" t="s">
        <v>434</v>
      </c>
    </row>
    <row r="105" spans="1:33" x14ac:dyDescent="0.2">
      <c r="A105" s="2">
        <v>109</v>
      </c>
      <c r="B105" s="2" t="s">
        <v>427</v>
      </c>
      <c r="C105" s="2" t="s">
        <v>227</v>
      </c>
      <c r="D105" s="2" t="s">
        <v>84</v>
      </c>
      <c r="E105" s="2" t="s">
        <v>85</v>
      </c>
      <c r="F105" s="2" t="s">
        <v>80</v>
      </c>
      <c r="G105" s="2">
        <v>30</v>
      </c>
      <c r="H105" s="4">
        <v>120</v>
      </c>
      <c r="I105" s="4">
        <v>8.2669999999999995</v>
      </c>
      <c r="J105" s="4">
        <f>0.881*SQRT(3)</f>
        <v>1.5259367614681809</v>
      </c>
      <c r="K105" s="2">
        <v>3</v>
      </c>
      <c r="L105" s="4">
        <v>11.018000000000001</v>
      </c>
      <c r="M105" s="4">
        <f>1.748*SQRT(3)</f>
        <v>3.0276248116303974</v>
      </c>
      <c r="N105" s="2">
        <v>3</v>
      </c>
      <c r="O105" s="2" t="s">
        <v>95</v>
      </c>
      <c r="R105" s="2" t="s">
        <v>73</v>
      </c>
      <c r="S105" s="2" t="s">
        <v>73</v>
      </c>
      <c r="T105" s="2" t="s">
        <v>73</v>
      </c>
      <c r="U105" s="2">
        <v>18</v>
      </c>
      <c r="W105" s="2">
        <v>12</v>
      </c>
      <c r="Y105" s="2" t="s">
        <v>98</v>
      </c>
      <c r="AB105" s="2" t="s">
        <v>116</v>
      </c>
      <c r="AE105" s="2" t="s">
        <v>138</v>
      </c>
      <c r="AF105" s="2" t="s">
        <v>87</v>
      </c>
      <c r="AG105" s="2" t="s">
        <v>434</v>
      </c>
    </row>
    <row r="106" spans="1:33" x14ac:dyDescent="0.2">
      <c r="A106" s="2">
        <v>110</v>
      </c>
      <c r="B106" s="2" t="s">
        <v>427</v>
      </c>
      <c r="C106" s="2" t="s">
        <v>432</v>
      </c>
      <c r="D106" s="2" t="s">
        <v>84</v>
      </c>
      <c r="E106" s="2" t="s">
        <v>85</v>
      </c>
      <c r="F106" s="2" t="s">
        <v>78</v>
      </c>
      <c r="G106" s="2">
        <v>30</v>
      </c>
      <c r="H106" s="4">
        <v>120</v>
      </c>
      <c r="I106" s="4">
        <v>102.34</v>
      </c>
      <c r="J106" s="4">
        <f>13.676*SQRT(3)</f>
        <v>23.687526844311964</v>
      </c>
      <c r="K106" s="2">
        <v>3</v>
      </c>
      <c r="L106" s="4">
        <v>252.98</v>
      </c>
      <c r="M106" s="4">
        <f>31.306*SQRT(3)</f>
        <v>54.223582581751273</v>
      </c>
      <c r="N106" s="2">
        <v>3</v>
      </c>
      <c r="O106" s="2" t="s">
        <v>95</v>
      </c>
      <c r="R106" s="2" t="s">
        <v>73</v>
      </c>
      <c r="S106" s="2" t="s">
        <v>87</v>
      </c>
      <c r="T106" s="2" t="s">
        <v>73</v>
      </c>
      <c r="U106" s="2">
        <v>18</v>
      </c>
      <c r="W106" s="2">
        <v>12</v>
      </c>
      <c r="Y106" s="2" t="s">
        <v>98</v>
      </c>
      <c r="AB106" s="2" t="s">
        <v>116</v>
      </c>
      <c r="AE106" s="2" t="s">
        <v>138</v>
      </c>
      <c r="AF106" s="2" t="s">
        <v>87</v>
      </c>
      <c r="AG106" s="2" t="s">
        <v>433</v>
      </c>
    </row>
    <row r="107" spans="1:33" x14ac:dyDescent="0.2">
      <c r="A107" s="2">
        <v>111</v>
      </c>
      <c r="B107" s="2" t="s">
        <v>427</v>
      </c>
      <c r="C107" s="2" t="s">
        <v>432</v>
      </c>
      <c r="D107" s="2" t="s">
        <v>84</v>
      </c>
      <c r="E107" s="2" t="s">
        <v>85</v>
      </c>
      <c r="F107" s="2" t="s">
        <v>80</v>
      </c>
      <c r="G107" s="2">
        <v>30</v>
      </c>
      <c r="H107" s="4">
        <v>120</v>
      </c>
      <c r="I107" s="4">
        <v>7.6070000000000002</v>
      </c>
      <c r="J107" s="4">
        <f>0.629*SQRT(3)</f>
        <v>1.0894599579608237</v>
      </c>
      <c r="K107" s="2">
        <v>3</v>
      </c>
      <c r="L107" s="4">
        <v>21.396999999999998</v>
      </c>
      <c r="M107" s="4">
        <f>2.09*SQRT(3)</f>
        <v>3.6199861878189532</v>
      </c>
      <c r="N107" s="2">
        <v>3</v>
      </c>
      <c r="O107" s="2" t="s">
        <v>95</v>
      </c>
      <c r="R107" s="2" t="s">
        <v>73</v>
      </c>
      <c r="S107" s="2" t="s">
        <v>87</v>
      </c>
      <c r="T107" s="2" t="s">
        <v>73</v>
      </c>
      <c r="U107" s="2">
        <v>18</v>
      </c>
      <c r="W107" s="2">
        <v>12</v>
      </c>
      <c r="Y107" s="2" t="s">
        <v>98</v>
      </c>
      <c r="AB107" s="2" t="s">
        <v>116</v>
      </c>
      <c r="AE107" s="2" t="s">
        <v>138</v>
      </c>
      <c r="AF107" s="2" t="s">
        <v>87</v>
      </c>
      <c r="AG107" s="2" t="s">
        <v>433</v>
      </c>
    </row>
    <row r="108" spans="1:33" x14ac:dyDescent="0.2">
      <c r="A108" s="2">
        <v>112</v>
      </c>
      <c r="B108" s="2" t="s">
        <v>427</v>
      </c>
      <c r="C108" s="2" t="s">
        <v>432</v>
      </c>
      <c r="D108" s="2" t="s">
        <v>84</v>
      </c>
      <c r="E108" s="2" t="s">
        <v>85</v>
      </c>
      <c r="F108" s="2" t="s">
        <v>78</v>
      </c>
      <c r="G108" s="2">
        <v>30</v>
      </c>
      <c r="H108" s="4">
        <v>120</v>
      </c>
      <c r="I108" s="4">
        <v>75.906999999999996</v>
      </c>
      <c r="J108" s="4">
        <f>10.283*SQRT(3)</f>
        <v>17.810678454230764</v>
      </c>
      <c r="K108" s="2">
        <v>3</v>
      </c>
      <c r="L108" s="4">
        <v>193.14699999999999</v>
      </c>
      <c r="M108" s="4">
        <f>21.637*SQRT(3)</f>
        <v>37.476383323367799</v>
      </c>
      <c r="N108" s="2">
        <v>3</v>
      </c>
      <c r="O108" s="2" t="s">
        <v>95</v>
      </c>
      <c r="R108" s="2" t="s">
        <v>73</v>
      </c>
      <c r="S108" s="2" t="s">
        <v>73</v>
      </c>
      <c r="T108" s="2" t="s">
        <v>73</v>
      </c>
      <c r="U108" s="2">
        <v>18</v>
      </c>
      <c r="W108" s="2">
        <v>12</v>
      </c>
      <c r="Y108" s="2" t="s">
        <v>98</v>
      </c>
      <c r="AB108" s="2" t="s">
        <v>116</v>
      </c>
      <c r="AE108" s="2" t="s">
        <v>138</v>
      </c>
      <c r="AF108" s="2" t="s">
        <v>87</v>
      </c>
      <c r="AG108" s="2" t="s">
        <v>434</v>
      </c>
    </row>
    <row r="109" spans="1:33" x14ac:dyDescent="0.2">
      <c r="A109" s="2">
        <v>113</v>
      </c>
      <c r="B109" s="2" t="s">
        <v>427</v>
      </c>
      <c r="C109" s="2" t="s">
        <v>432</v>
      </c>
      <c r="D109" s="2" t="s">
        <v>84</v>
      </c>
      <c r="E109" s="2" t="s">
        <v>85</v>
      </c>
      <c r="F109" s="2" t="s">
        <v>80</v>
      </c>
      <c r="G109" s="2">
        <v>30</v>
      </c>
      <c r="H109" s="4">
        <v>120</v>
      </c>
      <c r="I109" s="4">
        <v>7.274</v>
      </c>
      <c r="J109" s="4">
        <f>1.317*SQRT(3)</f>
        <v>2.2811109135682113</v>
      </c>
      <c r="K109" s="2">
        <v>3</v>
      </c>
      <c r="L109" s="4">
        <v>8.2840000000000007</v>
      </c>
      <c r="M109" s="4">
        <f>1.537*SQRT(3)</f>
        <v>2.6621620912333639</v>
      </c>
      <c r="N109" s="2">
        <v>3</v>
      </c>
      <c r="O109" s="2" t="s">
        <v>95</v>
      </c>
      <c r="R109" s="2" t="s">
        <v>73</v>
      </c>
      <c r="S109" s="2" t="s">
        <v>73</v>
      </c>
      <c r="T109" s="2" t="s">
        <v>73</v>
      </c>
      <c r="U109" s="2">
        <v>18</v>
      </c>
      <c r="W109" s="2">
        <v>12</v>
      </c>
      <c r="Y109" s="2" t="s">
        <v>98</v>
      </c>
      <c r="AB109" s="2" t="s">
        <v>116</v>
      </c>
      <c r="AE109" s="2" t="s">
        <v>138</v>
      </c>
      <c r="AF109" s="2" t="s">
        <v>87</v>
      </c>
      <c r="AG109" s="2" t="s">
        <v>434</v>
      </c>
    </row>
    <row r="110" spans="1:33" x14ac:dyDescent="0.2">
      <c r="A110" s="2">
        <v>114</v>
      </c>
      <c r="B110" s="2" t="s">
        <v>448</v>
      </c>
      <c r="C110" s="2" t="s">
        <v>449</v>
      </c>
      <c r="D110" s="2" t="s">
        <v>92</v>
      </c>
      <c r="E110" s="2" t="s">
        <v>150</v>
      </c>
      <c r="F110" s="2" t="s">
        <v>80</v>
      </c>
      <c r="G110" s="2">
        <v>50</v>
      </c>
      <c r="H110" s="4">
        <v>350</v>
      </c>
      <c r="I110" s="4">
        <v>7.5845272206303722</v>
      </c>
      <c r="J110" s="4">
        <f>0.725690402551363*SQRT(6)</f>
        <v>1.7775711974857589</v>
      </c>
      <c r="K110" s="2">
        <v>6</v>
      </c>
      <c r="L110" s="4">
        <v>10.041701060870096</v>
      </c>
      <c r="M110" s="4">
        <f>0.925487790199913*SQRT(6)</f>
        <v>2.2669728491657568</v>
      </c>
      <c r="N110" s="2">
        <v>6</v>
      </c>
      <c r="O110" s="2" t="s">
        <v>95</v>
      </c>
      <c r="P110" s="2" t="s">
        <v>34</v>
      </c>
      <c r="R110" s="2" t="s">
        <v>73</v>
      </c>
      <c r="S110" s="2" t="s">
        <v>73</v>
      </c>
      <c r="T110" s="2" t="s">
        <v>73</v>
      </c>
      <c r="U110" s="2">
        <v>27</v>
      </c>
      <c r="W110" s="2">
        <v>12</v>
      </c>
      <c r="X110" s="2">
        <v>35</v>
      </c>
      <c r="Y110" s="2" t="s">
        <v>98</v>
      </c>
      <c r="AA110" s="2" t="s">
        <v>73</v>
      </c>
      <c r="AB110" s="2" t="s">
        <v>152</v>
      </c>
      <c r="AE110" s="2" t="s">
        <v>189</v>
      </c>
      <c r="AF110" s="2" t="s">
        <v>87</v>
      </c>
      <c r="AG110" s="2" t="s">
        <v>404</v>
      </c>
    </row>
    <row r="111" spans="1:33" x14ac:dyDescent="0.2">
      <c r="A111" s="2">
        <v>115</v>
      </c>
      <c r="B111" s="2" t="s">
        <v>458</v>
      </c>
      <c r="C111" s="2" t="s">
        <v>459</v>
      </c>
      <c r="D111" s="2" t="s">
        <v>121</v>
      </c>
      <c r="E111" s="2" t="s">
        <v>106</v>
      </c>
      <c r="F111" s="2" t="s">
        <v>80</v>
      </c>
      <c r="G111" s="2">
        <v>50</v>
      </c>
      <c r="H111" s="4">
        <v>300</v>
      </c>
      <c r="I111" s="4">
        <v>6.97</v>
      </c>
      <c r="J111" s="4">
        <v>0.31</v>
      </c>
      <c r="K111" s="2">
        <v>3</v>
      </c>
      <c r="L111" s="4">
        <v>7.48</v>
      </c>
      <c r="M111" s="4">
        <v>0.26</v>
      </c>
      <c r="N111" s="2">
        <v>3</v>
      </c>
      <c r="O111" s="2" t="s">
        <v>95</v>
      </c>
      <c r="P111" s="2" t="s">
        <v>616</v>
      </c>
      <c r="R111" s="2" t="s">
        <v>73</v>
      </c>
      <c r="S111" s="2" t="s">
        <v>73</v>
      </c>
      <c r="T111" s="2" t="s">
        <v>73</v>
      </c>
      <c r="U111" s="2">
        <v>15</v>
      </c>
      <c r="W111" s="2">
        <v>16</v>
      </c>
      <c r="X111" s="2">
        <v>32</v>
      </c>
      <c r="Y111" s="2" t="s">
        <v>98</v>
      </c>
      <c r="AB111" s="2" t="s">
        <v>116</v>
      </c>
      <c r="AC111" s="2">
        <v>380</v>
      </c>
      <c r="AE111" s="2" t="s">
        <v>104</v>
      </c>
      <c r="AF111" s="2" t="s">
        <v>73</v>
      </c>
      <c r="AG111" s="2" t="s">
        <v>251</v>
      </c>
    </row>
    <row r="112" spans="1:33" x14ac:dyDescent="0.2">
      <c r="A112" s="2">
        <v>116</v>
      </c>
      <c r="B112" s="2" t="s">
        <v>458</v>
      </c>
      <c r="C112" s="2" t="s">
        <v>459</v>
      </c>
      <c r="D112" s="2" t="s">
        <v>121</v>
      </c>
      <c r="E112" s="2" t="s">
        <v>106</v>
      </c>
      <c r="F112" s="2" t="s">
        <v>80</v>
      </c>
      <c r="G112" s="2">
        <v>50</v>
      </c>
      <c r="H112" s="4">
        <v>300</v>
      </c>
      <c r="I112" s="4">
        <v>5.95</v>
      </c>
      <c r="J112" s="4">
        <v>0.91</v>
      </c>
      <c r="K112" s="2">
        <v>3</v>
      </c>
      <c r="L112" s="4">
        <v>7.75</v>
      </c>
      <c r="M112" s="4">
        <v>0.63</v>
      </c>
      <c r="N112" s="2">
        <v>3</v>
      </c>
      <c r="O112" s="2" t="s">
        <v>95</v>
      </c>
      <c r="P112" s="2" t="s">
        <v>616</v>
      </c>
      <c r="R112" s="2" t="s">
        <v>73</v>
      </c>
      <c r="S112" s="2" t="s">
        <v>73</v>
      </c>
      <c r="T112" s="2" t="s">
        <v>73</v>
      </c>
      <c r="U112" s="2">
        <v>15</v>
      </c>
      <c r="W112" s="2">
        <v>16</v>
      </c>
      <c r="X112" s="2">
        <v>32</v>
      </c>
      <c r="Y112" s="2" t="s">
        <v>98</v>
      </c>
      <c r="AB112" s="2" t="s">
        <v>116</v>
      </c>
      <c r="AC112" s="2">
        <v>1000</v>
      </c>
      <c r="AE112" s="2" t="s">
        <v>104</v>
      </c>
      <c r="AF112" s="2" t="s">
        <v>73</v>
      </c>
      <c r="AG112" s="2" t="s">
        <v>250</v>
      </c>
    </row>
    <row r="113" spans="1:33" x14ac:dyDescent="0.2">
      <c r="A113" s="2">
        <v>117</v>
      </c>
      <c r="B113" s="2" t="s">
        <v>458</v>
      </c>
      <c r="C113" s="2" t="s">
        <v>460</v>
      </c>
      <c r="D113" s="2" t="s">
        <v>121</v>
      </c>
      <c r="E113" s="2" t="s">
        <v>106</v>
      </c>
      <c r="F113" s="2" t="s">
        <v>80</v>
      </c>
      <c r="G113" s="2">
        <v>50</v>
      </c>
      <c r="H113" s="4">
        <v>300</v>
      </c>
      <c r="I113" s="4">
        <v>6</v>
      </c>
      <c r="J113" s="4">
        <v>0.13</v>
      </c>
      <c r="K113" s="2">
        <v>3</v>
      </c>
      <c r="L113" s="4">
        <v>6.92</v>
      </c>
      <c r="M113" s="4">
        <v>0.33</v>
      </c>
      <c r="N113" s="2">
        <v>3</v>
      </c>
      <c r="O113" s="2" t="s">
        <v>95</v>
      </c>
      <c r="P113" s="2" t="s">
        <v>616</v>
      </c>
      <c r="R113" s="2" t="s">
        <v>73</v>
      </c>
      <c r="S113" s="2" t="s">
        <v>73</v>
      </c>
      <c r="T113" s="2" t="s">
        <v>73</v>
      </c>
      <c r="U113" s="2">
        <v>15</v>
      </c>
      <c r="W113" s="2">
        <v>16</v>
      </c>
      <c r="X113" s="2">
        <v>32</v>
      </c>
      <c r="Y113" s="2" t="s">
        <v>98</v>
      </c>
      <c r="AB113" s="2" t="s">
        <v>116</v>
      </c>
      <c r="AC113" s="2">
        <v>380</v>
      </c>
      <c r="AE113" s="2" t="s">
        <v>104</v>
      </c>
      <c r="AF113" s="2" t="s">
        <v>73</v>
      </c>
      <c r="AG113" s="2" t="s">
        <v>251</v>
      </c>
    </row>
    <row r="114" spans="1:33" x14ac:dyDescent="0.2">
      <c r="A114" s="2">
        <v>118</v>
      </c>
      <c r="B114" s="2" t="s">
        <v>458</v>
      </c>
      <c r="C114" s="2" t="s">
        <v>460</v>
      </c>
      <c r="D114" s="2" t="s">
        <v>121</v>
      </c>
      <c r="E114" s="2" t="s">
        <v>106</v>
      </c>
      <c r="F114" s="2" t="s">
        <v>80</v>
      </c>
      <c r="G114" s="2">
        <v>50</v>
      </c>
      <c r="H114" s="4">
        <v>300</v>
      </c>
      <c r="I114" s="4">
        <v>5.84</v>
      </c>
      <c r="J114" s="4">
        <v>0.56000000000000005</v>
      </c>
      <c r="K114" s="2">
        <v>3</v>
      </c>
      <c r="L114" s="4">
        <v>6.71</v>
      </c>
      <c r="M114" s="4">
        <v>0.3</v>
      </c>
      <c r="N114" s="2">
        <v>3</v>
      </c>
      <c r="O114" s="2" t="s">
        <v>95</v>
      </c>
      <c r="P114" s="2" t="s">
        <v>616</v>
      </c>
      <c r="R114" s="2" t="s">
        <v>73</v>
      </c>
      <c r="S114" s="2" t="s">
        <v>73</v>
      </c>
      <c r="T114" s="2" t="s">
        <v>73</v>
      </c>
      <c r="U114" s="2">
        <v>15</v>
      </c>
      <c r="W114" s="2">
        <v>16</v>
      </c>
      <c r="X114" s="2">
        <v>32</v>
      </c>
      <c r="Y114" s="2" t="s">
        <v>98</v>
      </c>
      <c r="AB114" s="2" t="s">
        <v>116</v>
      </c>
      <c r="AC114" s="2">
        <v>1000</v>
      </c>
      <c r="AE114" s="2" t="s">
        <v>104</v>
      </c>
      <c r="AF114" s="2" t="s">
        <v>73</v>
      </c>
      <c r="AG114" s="2" t="s">
        <v>250</v>
      </c>
    </row>
    <row r="115" spans="1:33" x14ac:dyDescent="0.2">
      <c r="A115" s="2">
        <v>120</v>
      </c>
      <c r="B115" s="2" t="s">
        <v>477</v>
      </c>
      <c r="C115" s="2" t="s">
        <v>83</v>
      </c>
      <c r="D115" s="2" t="s">
        <v>84</v>
      </c>
      <c r="E115" s="2" t="s">
        <v>85</v>
      </c>
      <c r="F115" s="2" t="s">
        <v>80</v>
      </c>
      <c r="G115" s="2">
        <v>30</v>
      </c>
      <c r="H115" s="4">
        <v>250</v>
      </c>
      <c r="I115" s="4">
        <v>8.0020000000000007</v>
      </c>
      <c r="J115" s="4">
        <v>0.10999999999999943</v>
      </c>
      <c r="K115" s="2">
        <v>3</v>
      </c>
      <c r="L115" s="4">
        <v>9.6189999999999998</v>
      </c>
      <c r="M115" s="4">
        <v>0.10700000000000109</v>
      </c>
      <c r="N115" s="2">
        <v>3</v>
      </c>
      <c r="O115" s="2" t="s">
        <v>75</v>
      </c>
      <c r="P115" s="2" t="s">
        <v>616</v>
      </c>
      <c r="R115" s="2" t="s">
        <v>73</v>
      </c>
      <c r="S115" s="2" t="s">
        <v>73</v>
      </c>
      <c r="T115" s="2" t="s">
        <v>73</v>
      </c>
      <c r="U115" s="2">
        <v>20</v>
      </c>
      <c r="W115" s="2">
        <v>24</v>
      </c>
      <c r="Y115" s="2" t="s">
        <v>98</v>
      </c>
      <c r="Z115" s="2">
        <v>31</v>
      </c>
      <c r="AB115" s="2" t="s">
        <v>116</v>
      </c>
      <c r="AC115" s="2">
        <v>400</v>
      </c>
      <c r="AE115" s="2" t="s">
        <v>138</v>
      </c>
      <c r="AF115" s="2" t="s">
        <v>87</v>
      </c>
      <c r="AG115" s="2" t="s">
        <v>478</v>
      </c>
    </row>
    <row r="116" spans="1:33" x14ac:dyDescent="0.2">
      <c r="A116" s="2">
        <v>121</v>
      </c>
      <c r="B116" s="2" t="s">
        <v>477</v>
      </c>
      <c r="C116" s="2" t="s">
        <v>83</v>
      </c>
      <c r="D116" s="2" t="s">
        <v>84</v>
      </c>
      <c r="E116" s="2" t="s">
        <v>85</v>
      </c>
      <c r="F116" s="2" t="s">
        <v>80</v>
      </c>
      <c r="G116" s="2">
        <v>30</v>
      </c>
      <c r="H116" s="4">
        <v>250</v>
      </c>
      <c r="I116" s="4">
        <v>9.4380000000000006</v>
      </c>
      <c r="J116" s="4">
        <v>8.1999999999998963E-2</v>
      </c>
      <c r="K116" s="2">
        <v>3</v>
      </c>
      <c r="L116" s="4">
        <v>10.364000000000001</v>
      </c>
      <c r="M116" s="4">
        <v>0.24799999999999933</v>
      </c>
      <c r="N116" s="2">
        <v>3</v>
      </c>
      <c r="O116" s="2" t="s">
        <v>75</v>
      </c>
      <c r="P116" s="2" t="s">
        <v>616</v>
      </c>
      <c r="R116" s="2" t="s">
        <v>73</v>
      </c>
      <c r="S116" s="2" t="s">
        <v>73</v>
      </c>
      <c r="T116" s="2" t="s">
        <v>73</v>
      </c>
      <c r="U116" s="2">
        <v>20</v>
      </c>
      <c r="W116" s="2">
        <v>24</v>
      </c>
      <c r="Y116" s="2" t="s">
        <v>98</v>
      </c>
      <c r="Z116" s="2">
        <v>31</v>
      </c>
      <c r="AB116" s="2" t="s">
        <v>116</v>
      </c>
      <c r="AC116" s="2">
        <v>800</v>
      </c>
      <c r="AE116" s="2" t="s">
        <v>138</v>
      </c>
      <c r="AF116" s="2" t="s">
        <v>87</v>
      </c>
      <c r="AG116" s="2" t="s">
        <v>479</v>
      </c>
    </row>
    <row r="117" spans="1:33" x14ac:dyDescent="0.2">
      <c r="A117" s="2">
        <v>122</v>
      </c>
      <c r="B117" s="2" t="s">
        <v>477</v>
      </c>
      <c r="C117" s="2" t="s">
        <v>83</v>
      </c>
      <c r="D117" s="2" t="s">
        <v>84</v>
      </c>
      <c r="E117" s="2" t="s">
        <v>85</v>
      </c>
      <c r="F117" s="2" t="s">
        <v>80</v>
      </c>
      <c r="G117" s="2">
        <v>30</v>
      </c>
      <c r="H117" s="4">
        <v>250</v>
      </c>
      <c r="I117" s="4">
        <v>7.101</v>
      </c>
      <c r="J117" s="4">
        <v>0.24899999999999967</v>
      </c>
      <c r="K117" s="2">
        <v>3</v>
      </c>
      <c r="L117" s="4">
        <v>6.86</v>
      </c>
      <c r="M117" s="4">
        <v>4.0999999999999481E-2</v>
      </c>
      <c r="N117" s="2">
        <v>3</v>
      </c>
      <c r="O117" s="2" t="s">
        <v>75</v>
      </c>
      <c r="P117" s="2" t="s">
        <v>616</v>
      </c>
      <c r="R117" s="2" t="s">
        <v>73</v>
      </c>
      <c r="S117" s="2" t="s">
        <v>73</v>
      </c>
      <c r="T117" s="2" t="s">
        <v>73</v>
      </c>
      <c r="U117" s="2">
        <v>20</v>
      </c>
      <c r="W117" s="2">
        <v>24</v>
      </c>
      <c r="Y117" s="2" t="s">
        <v>98</v>
      </c>
      <c r="Z117" s="2">
        <v>31</v>
      </c>
      <c r="AB117" s="2" t="s">
        <v>117</v>
      </c>
      <c r="AC117" s="2">
        <v>400</v>
      </c>
      <c r="AE117" s="2" t="s">
        <v>138</v>
      </c>
      <c r="AF117" s="2" t="s">
        <v>87</v>
      </c>
      <c r="AG117" s="2" t="s">
        <v>480</v>
      </c>
    </row>
    <row r="118" spans="1:33" x14ac:dyDescent="0.2">
      <c r="A118" s="2">
        <v>123</v>
      </c>
      <c r="B118" s="2" t="s">
        <v>477</v>
      </c>
      <c r="C118" s="2" t="s">
        <v>83</v>
      </c>
      <c r="D118" s="2" t="s">
        <v>84</v>
      </c>
      <c r="E118" s="2" t="s">
        <v>85</v>
      </c>
      <c r="F118" s="2" t="s">
        <v>80</v>
      </c>
      <c r="G118" s="2">
        <v>30</v>
      </c>
      <c r="H118" s="4">
        <v>250</v>
      </c>
      <c r="I118" s="4">
        <v>7.3659999999999997</v>
      </c>
      <c r="J118" s="4">
        <v>0.19100000000000072</v>
      </c>
      <c r="K118" s="2">
        <v>3</v>
      </c>
      <c r="L118" s="4">
        <v>7.266</v>
      </c>
      <c r="M118" s="4">
        <v>0.38300000000000001</v>
      </c>
      <c r="N118" s="2">
        <v>3</v>
      </c>
      <c r="O118" s="2" t="s">
        <v>75</v>
      </c>
      <c r="P118" s="2" t="s">
        <v>616</v>
      </c>
      <c r="R118" s="2" t="s">
        <v>73</v>
      </c>
      <c r="S118" s="2" t="s">
        <v>73</v>
      </c>
      <c r="T118" s="2" t="s">
        <v>73</v>
      </c>
      <c r="U118" s="2">
        <v>20</v>
      </c>
      <c r="W118" s="2">
        <v>24</v>
      </c>
      <c r="Y118" s="2" t="s">
        <v>98</v>
      </c>
      <c r="Z118" s="2">
        <v>31</v>
      </c>
      <c r="AB118" s="2" t="s">
        <v>117</v>
      </c>
      <c r="AC118" s="2">
        <v>800</v>
      </c>
      <c r="AE118" s="2" t="s">
        <v>138</v>
      </c>
      <c r="AF118" s="2" t="s">
        <v>87</v>
      </c>
      <c r="AG118" s="2" t="s">
        <v>480</v>
      </c>
    </row>
    <row r="119" spans="1:33" x14ac:dyDescent="0.2">
      <c r="A119" s="2">
        <v>124</v>
      </c>
      <c r="B119" s="2" t="s">
        <v>481</v>
      </c>
      <c r="C119" s="2" t="s">
        <v>382</v>
      </c>
      <c r="D119" s="2" t="s">
        <v>92</v>
      </c>
      <c r="E119" s="2" t="s">
        <v>93</v>
      </c>
      <c r="F119" s="2" t="s">
        <v>80</v>
      </c>
      <c r="G119" s="2">
        <v>15</v>
      </c>
      <c r="H119" s="4">
        <v>207</v>
      </c>
      <c r="I119" s="4">
        <v>4.1900000000000004</v>
      </c>
      <c r="J119" s="4">
        <v>0.12</v>
      </c>
      <c r="K119" s="2">
        <v>3</v>
      </c>
      <c r="L119" s="4">
        <v>4.8499999999999996</v>
      </c>
      <c r="M119" s="4">
        <v>0.15</v>
      </c>
      <c r="N119" s="2">
        <v>3</v>
      </c>
      <c r="O119" s="2" t="s">
        <v>95</v>
      </c>
      <c r="P119" s="2" t="s">
        <v>616</v>
      </c>
      <c r="R119" s="2" t="s">
        <v>73</v>
      </c>
      <c r="S119" s="2" t="s">
        <v>73</v>
      </c>
      <c r="T119" s="2" t="s">
        <v>73</v>
      </c>
      <c r="U119" s="2">
        <v>24</v>
      </c>
      <c r="W119" s="2">
        <v>24</v>
      </c>
      <c r="Y119" s="2" t="s">
        <v>89</v>
      </c>
      <c r="AB119" s="2" t="s">
        <v>116</v>
      </c>
      <c r="AE119" s="2" t="s">
        <v>142</v>
      </c>
      <c r="AF119" s="2" t="s">
        <v>73</v>
      </c>
      <c r="AG119" s="2" t="s">
        <v>181</v>
      </c>
    </row>
    <row r="120" spans="1:33" x14ac:dyDescent="0.2">
      <c r="A120" s="2">
        <v>131</v>
      </c>
      <c r="B120" s="2" t="s">
        <v>494</v>
      </c>
      <c r="C120" s="2" t="s">
        <v>237</v>
      </c>
      <c r="D120" s="2" t="s">
        <v>84</v>
      </c>
      <c r="E120" s="2" t="s">
        <v>85</v>
      </c>
      <c r="F120" s="2" t="s">
        <v>80</v>
      </c>
      <c r="G120" s="2">
        <v>6</v>
      </c>
      <c r="H120" s="4">
        <v>108</v>
      </c>
      <c r="I120" s="4">
        <v>8.5</v>
      </c>
      <c r="J120" s="4">
        <f>0.1*SQRT(3)</f>
        <v>0.17320508075688773</v>
      </c>
      <c r="K120" s="2">
        <v>3</v>
      </c>
      <c r="L120" s="4">
        <v>7.9</v>
      </c>
      <c r="M120" s="4">
        <f>0.7*SQRT(3)</f>
        <v>1.2124355652982139</v>
      </c>
      <c r="N120" s="2">
        <v>3</v>
      </c>
      <c r="O120" s="2" t="s">
        <v>75</v>
      </c>
      <c r="P120" s="2" t="s">
        <v>616</v>
      </c>
      <c r="R120" s="2" t="s">
        <v>73</v>
      </c>
      <c r="S120" s="2" t="s">
        <v>73</v>
      </c>
      <c r="T120" s="2" t="s">
        <v>73</v>
      </c>
      <c r="U120" s="2">
        <v>20</v>
      </c>
      <c r="V120" s="2" t="s">
        <v>73</v>
      </c>
      <c r="W120" s="2">
        <v>24</v>
      </c>
      <c r="Y120" s="2" t="s">
        <v>89</v>
      </c>
      <c r="Z120" s="2">
        <v>8</v>
      </c>
      <c r="AB120" s="2" t="s">
        <v>116</v>
      </c>
      <c r="AE120" s="2" t="s">
        <v>142</v>
      </c>
      <c r="AF120" s="2" t="s">
        <v>73</v>
      </c>
      <c r="AG120" s="2" t="s">
        <v>495</v>
      </c>
    </row>
    <row r="121" spans="1:33" x14ac:dyDescent="0.2">
      <c r="A121" s="2">
        <v>132</v>
      </c>
      <c r="B121" s="2" t="s">
        <v>494</v>
      </c>
      <c r="C121" s="2" t="s">
        <v>237</v>
      </c>
      <c r="D121" s="2" t="s">
        <v>84</v>
      </c>
      <c r="E121" s="2" t="s">
        <v>85</v>
      </c>
      <c r="F121" s="2" t="s">
        <v>80</v>
      </c>
      <c r="G121" s="2">
        <v>6</v>
      </c>
      <c r="H121" s="4">
        <v>108</v>
      </c>
      <c r="I121" s="4">
        <v>6.9</v>
      </c>
      <c r="J121" s="4">
        <f>0.4*SQRT(3)</f>
        <v>0.69282032302755092</v>
      </c>
      <c r="K121" s="2">
        <v>3</v>
      </c>
      <c r="L121" s="4">
        <v>7.8</v>
      </c>
      <c r="M121" s="4">
        <f>0.8*SQRT(3)</f>
        <v>1.3856406460551018</v>
      </c>
      <c r="N121" s="2">
        <v>3</v>
      </c>
      <c r="O121" s="2" t="s">
        <v>75</v>
      </c>
      <c r="P121" s="2" t="s">
        <v>616</v>
      </c>
      <c r="R121" s="2" t="s">
        <v>73</v>
      </c>
      <c r="S121" s="2" t="s">
        <v>73</v>
      </c>
      <c r="T121" s="2" t="s">
        <v>73</v>
      </c>
      <c r="U121" s="2">
        <v>20</v>
      </c>
      <c r="V121" s="2" t="s">
        <v>73</v>
      </c>
      <c r="W121" s="2">
        <v>24</v>
      </c>
      <c r="Y121" s="2" t="s">
        <v>89</v>
      </c>
      <c r="Z121" s="2">
        <v>8</v>
      </c>
      <c r="AB121" s="2" t="s">
        <v>117</v>
      </c>
      <c r="AE121" s="2" t="s">
        <v>142</v>
      </c>
      <c r="AF121" s="2" t="s">
        <v>73</v>
      </c>
      <c r="AG121" s="2" t="s">
        <v>496</v>
      </c>
    </row>
    <row r="122" spans="1:33" x14ac:dyDescent="0.2">
      <c r="A122" s="2">
        <v>137</v>
      </c>
      <c r="B122" s="2" t="s">
        <v>570</v>
      </c>
      <c r="C122" s="2" t="s">
        <v>83</v>
      </c>
      <c r="D122" s="2" t="s">
        <v>84</v>
      </c>
      <c r="E122" s="2" t="s">
        <v>85</v>
      </c>
      <c r="F122" s="2" t="s">
        <v>80</v>
      </c>
      <c r="G122" s="2">
        <v>5</v>
      </c>
      <c r="H122" s="4">
        <v>61</v>
      </c>
      <c r="I122" s="4">
        <v>7.5</v>
      </c>
      <c r="J122" s="4">
        <v>0.4</v>
      </c>
      <c r="K122" s="2">
        <v>2</v>
      </c>
      <c r="L122" s="4">
        <v>12</v>
      </c>
      <c r="M122" s="4">
        <v>1.1000000000000001</v>
      </c>
      <c r="N122" s="2">
        <v>2</v>
      </c>
      <c r="O122" s="2" t="s">
        <v>75</v>
      </c>
      <c r="P122" s="2" t="s">
        <v>616</v>
      </c>
      <c r="R122" s="2" t="s">
        <v>73</v>
      </c>
      <c r="S122" s="2" t="s">
        <v>73</v>
      </c>
      <c r="T122" s="2" t="s">
        <v>73</v>
      </c>
      <c r="U122" s="2">
        <v>17.5</v>
      </c>
      <c r="W122" s="2">
        <v>24</v>
      </c>
      <c r="Y122" s="2" t="s">
        <v>89</v>
      </c>
      <c r="AB122" s="2" t="s">
        <v>116</v>
      </c>
      <c r="AE122" s="2" t="s">
        <v>142</v>
      </c>
      <c r="AF122" s="2" t="s">
        <v>73</v>
      </c>
      <c r="AG122" s="2" t="s">
        <v>571</v>
      </c>
    </row>
    <row r="123" spans="1:33" x14ac:dyDescent="0.2">
      <c r="A123" s="2">
        <v>138</v>
      </c>
      <c r="B123" s="2" t="s">
        <v>570</v>
      </c>
      <c r="C123" s="2" t="s">
        <v>83</v>
      </c>
      <c r="D123" s="2" t="s">
        <v>84</v>
      </c>
      <c r="E123" s="2" t="s">
        <v>85</v>
      </c>
      <c r="F123" s="2" t="s">
        <v>80</v>
      </c>
      <c r="G123" s="2">
        <v>7</v>
      </c>
      <c r="H123" s="4">
        <v>61</v>
      </c>
      <c r="I123" s="4">
        <v>6</v>
      </c>
      <c r="J123" s="4">
        <v>0.3</v>
      </c>
      <c r="K123" s="2">
        <v>2</v>
      </c>
      <c r="L123" s="4">
        <v>8.6999999999999993</v>
      </c>
      <c r="M123" s="4">
        <v>0.2</v>
      </c>
      <c r="N123" s="2">
        <v>2</v>
      </c>
      <c r="O123" s="2" t="s">
        <v>75</v>
      </c>
      <c r="P123" s="2" t="s">
        <v>616</v>
      </c>
      <c r="R123" s="2" t="s">
        <v>73</v>
      </c>
      <c r="S123" s="2" t="s">
        <v>73</v>
      </c>
      <c r="T123" s="2" t="s">
        <v>73</v>
      </c>
      <c r="U123" s="2">
        <v>17.5</v>
      </c>
      <c r="W123" s="2">
        <v>24</v>
      </c>
      <c r="Y123" s="2" t="s">
        <v>89</v>
      </c>
      <c r="AB123" s="2" t="s">
        <v>117</v>
      </c>
      <c r="AE123" s="2" t="s">
        <v>142</v>
      </c>
      <c r="AF123" s="2" t="s">
        <v>73</v>
      </c>
      <c r="AG123" s="2" t="s">
        <v>572</v>
      </c>
    </row>
    <row r="124" spans="1:33" x14ac:dyDescent="0.2">
      <c r="A124" s="2">
        <v>139</v>
      </c>
      <c r="B124" s="2" t="s">
        <v>575</v>
      </c>
      <c r="C124" s="2" t="s">
        <v>336</v>
      </c>
      <c r="D124" s="2" t="s">
        <v>84</v>
      </c>
      <c r="E124" s="2" t="s">
        <v>85</v>
      </c>
      <c r="F124" s="2" t="s">
        <v>80</v>
      </c>
      <c r="G124" s="2">
        <v>11</v>
      </c>
      <c r="H124" s="4">
        <v>225</v>
      </c>
      <c r="I124" s="4">
        <v>5.5151515151515147</v>
      </c>
      <c r="J124" s="4">
        <v>1.6202937825146009</v>
      </c>
      <c r="K124" s="2">
        <v>3</v>
      </c>
      <c r="L124" s="4">
        <v>5.8333333333333321</v>
      </c>
      <c r="M124" s="4">
        <v>1.1073052357935429</v>
      </c>
      <c r="N124" s="2">
        <v>3</v>
      </c>
      <c r="O124" s="2" t="s">
        <v>56</v>
      </c>
      <c r="R124" s="2" t="s">
        <v>73</v>
      </c>
      <c r="S124" s="2" t="s">
        <v>73</v>
      </c>
      <c r="T124" s="2" t="s">
        <v>73</v>
      </c>
      <c r="U124" s="2">
        <v>22</v>
      </c>
      <c r="W124" s="2">
        <v>24</v>
      </c>
      <c r="Y124" s="2" t="s">
        <v>89</v>
      </c>
      <c r="AB124" s="2" t="s">
        <v>116</v>
      </c>
      <c r="AE124" s="2" t="s">
        <v>142</v>
      </c>
      <c r="AF124" s="2" t="s">
        <v>73</v>
      </c>
      <c r="AG124" s="2" t="s">
        <v>576</v>
      </c>
    </row>
    <row r="125" spans="1:33" x14ac:dyDescent="0.2">
      <c r="A125" s="2">
        <v>140</v>
      </c>
      <c r="B125" s="2" t="s">
        <v>575</v>
      </c>
      <c r="C125" s="2" t="s">
        <v>465</v>
      </c>
      <c r="D125" s="2" t="s">
        <v>121</v>
      </c>
      <c r="E125" s="2" t="s">
        <v>106</v>
      </c>
      <c r="F125" s="2" t="s">
        <v>80</v>
      </c>
      <c r="G125" s="2">
        <v>11</v>
      </c>
      <c r="H125" s="4">
        <v>225</v>
      </c>
      <c r="I125" s="4">
        <v>3.1315789473684212</v>
      </c>
      <c r="J125" s="4">
        <v>1.2108249978572623</v>
      </c>
      <c r="K125" s="2">
        <v>3</v>
      </c>
      <c r="L125" s="4">
        <v>7.5185185185185173</v>
      </c>
      <c r="M125" s="4">
        <v>2.7644191817793371</v>
      </c>
      <c r="N125" s="2">
        <v>3</v>
      </c>
      <c r="O125" s="2" t="s">
        <v>56</v>
      </c>
      <c r="R125" s="2" t="s">
        <v>73</v>
      </c>
      <c r="S125" s="2" t="s">
        <v>73</v>
      </c>
      <c r="T125" s="2" t="s">
        <v>73</v>
      </c>
      <c r="U125" s="2">
        <v>22</v>
      </c>
      <c r="W125" s="2">
        <v>24</v>
      </c>
      <c r="Y125" s="2" t="s">
        <v>89</v>
      </c>
      <c r="AB125" s="2" t="s">
        <v>116</v>
      </c>
      <c r="AE125" s="2" t="s">
        <v>142</v>
      </c>
      <c r="AF125" s="2" t="s">
        <v>73</v>
      </c>
      <c r="AG125" s="2" t="s">
        <v>576</v>
      </c>
    </row>
    <row r="126" spans="1:33" x14ac:dyDescent="0.2">
      <c r="A126" s="2">
        <v>141</v>
      </c>
      <c r="B126" s="2" t="s">
        <v>575</v>
      </c>
      <c r="C126" s="2" t="s">
        <v>573</v>
      </c>
      <c r="D126" s="2" t="s">
        <v>84</v>
      </c>
      <c r="E126" s="2" t="s">
        <v>85</v>
      </c>
      <c r="F126" s="2" t="s">
        <v>80</v>
      </c>
      <c r="G126" s="2">
        <v>11</v>
      </c>
      <c r="H126" s="4">
        <v>225</v>
      </c>
      <c r="I126" s="4">
        <v>5.2500000000000009</v>
      </c>
      <c r="J126" s="4">
        <v>0.69347154071221839</v>
      </c>
      <c r="K126" s="2">
        <v>3</v>
      </c>
      <c r="L126" s="4">
        <v>6.5942028985507246</v>
      </c>
      <c r="M126" s="4">
        <v>2.1655777482821348</v>
      </c>
      <c r="N126" s="2">
        <v>3</v>
      </c>
      <c r="O126" s="2" t="s">
        <v>56</v>
      </c>
      <c r="R126" s="2" t="s">
        <v>73</v>
      </c>
      <c r="S126" s="2" t="s">
        <v>73</v>
      </c>
      <c r="T126" s="2" t="s">
        <v>73</v>
      </c>
      <c r="U126" s="2">
        <v>22</v>
      </c>
      <c r="W126" s="2">
        <v>24</v>
      </c>
      <c r="Y126" s="2" t="s">
        <v>89</v>
      </c>
      <c r="AB126" s="2" t="s">
        <v>116</v>
      </c>
      <c r="AE126" s="2" t="s">
        <v>142</v>
      </c>
      <c r="AF126" s="2" t="s">
        <v>73</v>
      </c>
      <c r="AG126" s="2" t="s">
        <v>576</v>
      </c>
    </row>
    <row r="127" spans="1:33" x14ac:dyDescent="0.2">
      <c r="A127" s="2">
        <v>142</v>
      </c>
      <c r="B127" s="2" t="s">
        <v>577</v>
      </c>
      <c r="C127" s="2" t="s">
        <v>573</v>
      </c>
      <c r="D127" s="2" t="s">
        <v>84</v>
      </c>
      <c r="E127" s="2" t="s">
        <v>85</v>
      </c>
      <c r="F127" s="2" t="s">
        <v>80</v>
      </c>
      <c r="G127" s="2">
        <v>19</v>
      </c>
      <c r="H127" s="4">
        <v>160</v>
      </c>
      <c r="I127" s="4">
        <v>6.4927536231884053</v>
      </c>
      <c r="J127" s="4">
        <v>0.94746043849126382</v>
      </c>
      <c r="K127" s="2">
        <v>4</v>
      </c>
      <c r="L127" s="4">
        <v>7.42</v>
      </c>
      <c r="M127" s="4">
        <v>4.2438349533306683</v>
      </c>
      <c r="N127" s="2">
        <v>4</v>
      </c>
      <c r="O127" s="2" t="s">
        <v>56</v>
      </c>
      <c r="R127" s="2" t="s">
        <v>73</v>
      </c>
      <c r="S127" s="2" t="s">
        <v>73</v>
      </c>
      <c r="T127" s="2" t="s">
        <v>73</v>
      </c>
      <c r="U127" s="2">
        <v>17</v>
      </c>
      <c r="W127" s="2">
        <v>24</v>
      </c>
      <c r="Y127" s="2" t="s">
        <v>89</v>
      </c>
      <c r="AB127" s="2" t="s">
        <v>116</v>
      </c>
      <c r="AE127" s="2" t="s">
        <v>142</v>
      </c>
      <c r="AF127" s="2" t="s">
        <v>73</v>
      </c>
      <c r="AG127" s="2" t="s">
        <v>576</v>
      </c>
    </row>
    <row r="128" spans="1:33" x14ac:dyDescent="0.2">
      <c r="A128" s="2">
        <v>143</v>
      </c>
      <c r="B128" s="2" t="s">
        <v>577</v>
      </c>
      <c r="C128" s="2" t="s">
        <v>574</v>
      </c>
      <c r="D128" s="2" t="s">
        <v>121</v>
      </c>
      <c r="E128" s="2" t="s">
        <v>106</v>
      </c>
      <c r="F128" s="2" t="s">
        <v>80</v>
      </c>
      <c r="G128" s="2">
        <v>19</v>
      </c>
      <c r="H128" s="4">
        <v>160</v>
      </c>
      <c r="I128" s="4">
        <v>7.3888888888888884</v>
      </c>
      <c r="J128" s="4">
        <v>0.86095069084073406</v>
      </c>
      <c r="K128" s="2">
        <v>4</v>
      </c>
      <c r="L128" s="4">
        <v>10.410256410256411</v>
      </c>
      <c r="M128" s="4">
        <v>3.3285331262210383</v>
      </c>
      <c r="N128" s="2">
        <v>4</v>
      </c>
      <c r="O128" s="2" t="s">
        <v>56</v>
      </c>
      <c r="R128" s="2" t="s">
        <v>73</v>
      </c>
      <c r="S128" s="2" t="s">
        <v>73</v>
      </c>
      <c r="T128" s="2" t="s">
        <v>73</v>
      </c>
      <c r="U128" s="2">
        <v>17</v>
      </c>
      <c r="W128" s="2">
        <v>24</v>
      </c>
      <c r="Y128" s="2" t="s">
        <v>89</v>
      </c>
      <c r="AB128" s="2" t="s">
        <v>116</v>
      </c>
      <c r="AE128" s="2" t="s">
        <v>142</v>
      </c>
      <c r="AF128" s="2" t="s">
        <v>73</v>
      </c>
      <c r="AG128" s="2" t="s">
        <v>576</v>
      </c>
    </row>
    <row r="129" spans="1:33" x14ac:dyDescent="0.2">
      <c r="A129" s="2">
        <v>146</v>
      </c>
      <c r="B129" s="2" t="s">
        <v>580</v>
      </c>
      <c r="C129" s="2" t="s">
        <v>581</v>
      </c>
      <c r="D129" s="2" t="s">
        <v>202</v>
      </c>
      <c r="E129" s="2" t="s">
        <v>106</v>
      </c>
      <c r="F129" s="2" t="s">
        <v>80</v>
      </c>
      <c r="G129" s="2">
        <v>50</v>
      </c>
      <c r="H129" s="4">
        <v>350</v>
      </c>
      <c r="I129" s="4">
        <v>12.138639167988718</v>
      </c>
      <c r="J129" s="4">
        <v>0.39699190870423834</v>
      </c>
      <c r="K129" s="2">
        <v>6</v>
      </c>
      <c r="L129" s="4">
        <v>11.630208333333334</v>
      </c>
      <c r="M129" s="4">
        <v>1.5983559533070926</v>
      </c>
      <c r="N129" s="2">
        <v>6</v>
      </c>
      <c r="O129" s="2" t="s">
        <v>95</v>
      </c>
      <c r="P129" s="2" t="s">
        <v>34</v>
      </c>
      <c r="R129" s="2" t="s">
        <v>87</v>
      </c>
      <c r="S129" s="2" t="s">
        <v>87</v>
      </c>
      <c r="T129" s="2" t="s">
        <v>87</v>
      </c>
      <c r="U129" s="2">
        <v>18</v>
      </c>
      <c r="W129" s="2">
        <v>12</v>
      </c>
      <c r="Y129" s="2" t="s">
        <v>89</v>
      </c>
      <c r="AB129" s="2" t="s">
        <v>116</v>
      </c>
      <c r="AE129" s="2" t="s">
        <v>142</v>
      </c>
      <c r="AF129" s="2" t="s">
        <v>73</v>
      </c>
      <c r="AG129" s="2" t="s">
        <v>582</v>
      </c>
    </row>
    <row r="130" spans="1:33" x14ac:dyDescent="0.2">
      <c r="A130" s="2">
        <v>147</v>
      </c>
      <c r="B130" s="2" t="s">
        <v>580</v>
      </c>
      <c r="C130" s="2" t="s">
        <v>581</v>
      </c>
      <c r="D130" s="2" t="s">
        <v>202</v>
      </c>
      <c r="E130" s="2" t="s">
        <v>106</v>
      </c>
      <c r="F130" s="2" t="s">
        <v>80</v>
      </c>
      <c r="G130" s="2">
        <v>50</v>
      </c>
      <c r="H130" s="4">
        <v>200</v>
      </c>
      <c r="I130" s="4">
        <v>12.47126436781609</v>
      </c>
      <c r="J130" s="4">
        <v>11.68007662835249</v>
      </c>
      <c r="K130" s="2">
        <v>6</v>
      </c>
      <c r="L130" s="4">
        <v>9.9513888888888893</v>
      </c>
      <c r="M130" s="4">
        <v>1.0115555341974221</v>
      </c>
      <c r="N130" s="2">
        <v>6</v>
      </c>
      <c r="O130" s="2" t="s">
        <v>95</v>
      </c>
      <c r="P130" s="2" t="s">
        <v>34</v>
      </c>
      <c r="R130" s="2" t="s">
        <v>87</v>
      </c>
      <c r="S130" s="2" t="s">
        <v>87</v>
      </c>
      <c r="T130" s="2" t="s">
        <v>87</v>
      </c>
      <c r="U130" s="2">
        <v>18</v>
      </c>
      <c r="W130" s="2">
        <v>12</v>
      </c>
      <c r="Y130" s="2" t="s">
        <v>89</v>
      </c>
      <c r="AB130" s="2" t="s">
        <v>117</v>
      </c>
      <c r="AE130" s="2" t="s">
        <v>142</v>
      </c>
      <c r="AF130" s="2" t="s">
        <v>73</v>
      </c>
      <c r="AG130" s="2" t="s">
        <v>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C69A-D882-7741-9032-8E30431A23E8}">
  <sheetPr codeName="Sheet6"/>
  <dimension ref="A1:AG180"/>
  <sheetViews>
    <sheetView topLeftCell="A114" workbookViewId="0">
      <selection activeCell="P21" sqref="P21:P24"/>
    </sheetView>
  </sheetViews>
  <sheetFormatPr baseColWidth="10" defaultRowHeight="14" x14ac:dyDescent="0.2"/>
  <cols>
    <col min="1" max="2" width="10.83203125" style="2"/>
    <col min="3" max="3" width="29.1640625" style="2" bestFit="1" customWidth="1"/>
    <col min="4" max="6" width="10.83203125" style="2"/>
    <col min="7" max="8" width="5" style="2" bestFit="1" customWidth="1"/>
    <col min="9" max="9" width="5.83203125" style="4" customWidth="1"/>
    <col min="10" max="10" width="7.1640625" style="4" bestFit="1" customWidth="1"/>
    <col min="11" max="11" width="2.83203125" style="2" bestFit="1" customWidth="1"/>
    <col min="12" max="12" width="5.83203125" style="4" bestFit="1" customWidth="1"/>
    <col min="13" max="13" width="5" style="4" bestFit="1" customWidth="1"/>
    <col min="14" max="14" width="3.1640625" style="2" bestFit="1" customWidth="1"/>
    <col min="15" max="15" width="5.1640625" style="2" bestFit="1" customWidth="1"/>
    <col min="16" max="16" width="5.1640625" style="2" customWidth="1"/>
    <col min="17" max="17" width="3.5" style="2" bestFit="1" customWidth="1"/>
    <col min="18" max="18" width="4.83203125" style="2" bestFit="1" customWidth="1"/>
    <col min="19" max="19" width="5" style="2" bestFit="1" customWidth="1"/>
    <col min="20" max="20" width="5.6640625" style="2" bestFit="1" customWidth="1"/>
    <col min="21" max="21" width="3.6640625" style="2" bestFit="1" customWidth="1"/>
    <col min="22" max="22" width="5" style="2" bestFit="1" customWidth="1"/>
    <col min="23" max="23" width="2.83203125" style="2" bestFit="1" customWidth="1"/>
    <col min="24" max="24" width="5.33203125" style="2" bestFit="1" customWidth="1"/>
    <col min="25" max="25" width="6.83203125" style="2" bestFit="1" customWidth="1"/>
    <col min="26" max="26" width="9.1640625" style="2" bestFit="1" customWidth="1"/>
    <col min="27" max="27" width="5.5" style="2" bestFit="1" customWidth="1"/>
    <col min="28" max="28" width="5.5" style="2" customWidth="1"/>
    <col min="29" max="29" width="7.5" style="2" bestFit="1" customWidth="1"/>
    <col min="30" max="30" width="5" style="2" bestFit="1" customWidth="1"/>
    <col min="31" max="31" width="6.6640625" style="2" bestFit="1" customWidth="1"/>
    <col min="32" max="32" width="8" style="2" bestFit="1" customWidth="1"/>
    <col min="33" max="33" width="78.5" style="2" bestFit="1" customWidth="1"/>
    <col min="34" max="16384" width="10.83203125" style="2"/>
  </cols>
  <sheetData>
    <row r="1" spans="1:33" x14ac:dyDescent="0.2">
      <c r="A1" s="2" t="s">
        <v>606</v>
      </c>
      <c r="B1" s="2" t="s">
        <v>10</v>
      </c>
      <c r="C1" s="2" t="s">
        <v>12</v>
      </c>
      <c r="D1" s="2" t="s">
        <v>15</v>
      </c>
      <c r="E1" s="2" t="s">
        <v>54</v>
      </c>
      <c r="F1" s="2" t="s">
        <v>77</v>
      </c>
      <c r="G1" s="2" t="s">
        <v>17</v>
      </c>
      <c r="H1" s="2" t="s">
        <v>19</v>
      </c>
      <c r="I1" s="4" t="s">
        <v>21</v>
      </c>
      <c r="J1" s="4" t="s">
        <v>23</v>
      </c>
      <c r="K1" s="2" t="s">
        <v>25</v>
      </c>
      <c r="L1" s="4" t="s">
        <v>27</v>
      </c>
      <c r="M1" s="4" t="s">
        <v>28</v>
      </c>
      <c r="N1" s="2" t="s">
        <v>29</v>
      </c>
      <c r="O1" s="2" t="s">
        <v>8</v>
      </c>
      <c r="P1" s="2" t="s">
        <v>604</v>
      </c>
      <c r="Q1" s="2" t="s">
        <v>48</v>
      </c>
      <c r="R1" s="2" t="s">
        <v>62</v>
      </c>
      <c r="S1" s="2" t="s">
        <v>63</v>
      </c>
      <c r="T1" s="2" t="s">
        <v>64</v>
      </c>
      <c r="U1" s="2" t="s">
        <v>33</v>
      </c>
      <c r="V1" s="2" t="s">
        <v>113</v>
      </c>
      <c r="W1" s="2" t="s">
        <v>36</v>
      </c>
      <c r="X1" s="2" t="s">
        <v>34</v>
      </c>
      <c r="Y1" s="2" t="s">
        <v>57</v>
      </c>
      <c r="Z1" s="2" t="s">
        <v>58</v>
      </c>
      <c r="AA1" s="2" t="s">
        <v>96</v>
      </c>
      <c r="AB1" s="2" t="s">
        <v>115</v>
      </c>
      <c r="AC1" s="2" t="s">
        <v>44</v>
      </c>
      <c r="AD1" s="2" t="s">
        <v>46</v>
      </c>
      <c r="AE1" s="2" t="s">
        <v>50</v>
      </c>
      <c r="AF1" s="2" t="s">
        <v>52</v>
      </c>
      <c r="AG1" s="2" t="s">
        <v>59</v>
      </c>
    </row>
    <row r="2" spans="1:33" x14ac:dyDescent="0.2">
      <c r="A2" s="2">
        <v>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80</v>
      </c>
      <c r="G2" s="2">
        <v>8</v>
      </c>
      <c r="H2" s="2">
        <v>17</v>
      </c>
      <c r="I2" s="4">
        <v>7.1</v>
      </c>
      <c r="J2" s="4">
        <v>0.1</v>
      </c>
      <c r="K2" s="2">
        <v>3</v>
      </c>
      <c r="L2" s="4">
        <v>8</v>
      </c>
      <c r="M2" s="4">
        <v>0.4</v>
      </c>
      <c r="N2" s="2">
        <v>3</v>
      </c>
      <c r="O2" s="2" t="s">
        <v>75</v>
      </c>
      <c r="P2" s="2" t="s">
        <v>616</v>
      </c>
      <c r="R2" s="2" t="s">
        <v>73</v>
      </c>
      <c r="S2" s="2" t="s">
        <v>73</v>
      </c>
      <c r="T2" s="2" t="s">
        <v>73</v>
      </c>
      <c r="U2" s="2">
        <v>150</v>
      </c>
      <c r="V2" s="2" t="s">
        <v>73</v>
      </c>
      <c r="W2" s="2">
        <v>24</v>
      </c>
      <c r="Y2" s="2" t="s">
        <v>89</v>
      </c>
      <c r="Z2" s="2">
        <v>8</v>
      </c>
      <c r="AB2" s="2" t="s">
        <v>116</v>
      </c>
      <c r="AE2" s="2" t="s">
        <v>86</v>
      </c>
      <c r="AF2" s="2" t="s">
        <v>87</v>
      </c>
      <c r="AG2" s="2" t="s">
        <v>88</v>
      </c>
    </row>
    <row r="3" spans="1:33" x14ac:dyDescent="0.2">
      <c r="A3" s="2">
        <v>2</v>
      </c>
      <c r="B3" s="2" t="s">
        <v>102</v>
      </c>
      <c r="C3" s="2" t="s">
        <v>103</v>
      </c>
      <c r="D3" s="2" t="s">
        <v>105</v>
      </c>
      <c r="E3" s="2" t="s">
        <v>106</v>
      </c>
      <c r="F3" s="2" t="s">
        <v>78</v>
      </c>
      <c r="G3" s="2">
        <v>12</v>
      </c>
      <c r="H3" s="2">
        <v>24</v>
      </c>
      <c r="I3" s="4">
        <v>332.6</v>
      </c>
      <c r="J3" s="4">
        <v>21.2</v>
      </c>
      <c r="K3" s="2">
        <v>3</v>
      </c>
      <c r="L3" s="4">
        <v>150.80000000000001</v>
      </c>
      <c r="M3" s="4">
        <v>39.700000000000003</v>
      </c>
      <c r="N3" s="2">
        <v>3</v>
      </c>
      <c r="O3" s="2" t="s">
        <v>75</v>
      </c>
      <c r="P3" s="2" t="s">
        <v>34</v>
      </c>
      <c r="R3" s="2" t="s">
        <v>73</v>
      </c>
      <c r="S3" s="2" t="s">
        <v>87</v>
      </c>
      <c r="T3" s="2" t="s">
        <v>73</v>
      </c>
      <c r="U3" s="2">
        <v>100</v>
      </c>
      <c r="V3" s="2" t="s">
        <v>73</v>
      </c>
      <c r="W3" s="2">
        <v>16</v>
      </c>
      <c r="X3" s="2">
        <v>37</v>
      </c>
      <c r="Y3" s="2" t="s">
        <v>98</v>
      </c>
      <c r="AB3" s="5" t="s">
        <v>116</v>
      </c>
      <c r="AC3" s="2">
        <v>560</v>
      </c>
      <c r="AE3" s="2" t="s">
        <v>104</v>
      </c>
      <c r="AF3" s="2" t="s">
        <v>73</v>
      </c>
      <c r="AG3" s="2" t="s">
        <v>107</v>
      </c>
    </row>
    <row r="4" spans="1:33" x14ac:dyDescent="0.2">
      <c r="A4" s="2">
        <v>3</v>
      </c>
      <c r="B4" s="2" t="s">
        <v>102</v>
      </c>
      <c r="C4" s="2" t="s">
        <v>103</v>
      </c>
      <c r="D4" s="2" t="s">
        <v>105</v>
      </c>
      <c r="E4" s="2" t="s">
        <v>106</v>
      </c>
      <c r="F4" s="2" t="s">
        <v>80</v>
      </c>
      <c r="G4" s="2">
        <v>12</v>
      </c>
      <c r="H4" s="2">
        <v>24</v>
      </c>
      <c r="I4" s="4">
        <v>12.7</v>
      </c>
      <c r="J4" s="4">
        <v>0.2</v>
      </c>
      <c r="K4" s="2">
        <v>3</v>
      </c>
      <c r="L4" s="4">
        <v>6.9</v>
      </c>
      <c r="M4" s="4">
        <v>0.1</v>
      </c>
      <c r="N4" s="2">
        <v>3</v>
      </c>
      <c r="O4" s="2" t="s">
        <v>75</v>
      </c>
      <c r="P4" s="2" t="s">
        <v>34</v>
      </c>
      <c r="R4" s="2" t="s">
        <v>73</v>
      </c>
      <c r="S4" s="2" t="s">
        <v>87</v>
      </c>
      <c r="T4" s="2" t="s">
        <v>73</v>
      </c>
      <c r="U4" s="2">
        <v>100</v>
      </c>
      <c r="V4" s="2" t="s">
        <v>73</v>
      </c>
      <c r="W4" s="2">
        <v>16</v>
      </c>
      <c r="X4" s="2">
        <v>37</v>
      </c>
      <c r="Y4" s="2" t="s">
        <v>98</v>
      </c>
      <c r="AB4" s="5" t="s">
        <v>116</v>
      </c>
      <c r="AC4" s="2">
        <v>560</v>
      </c>
      <c r="AE4" s="2" t="s">
        <v>104</v>
      </c>
      <c r="AF4" s="2" t="s">
        <v>73</v>
      </c>
      <c r="AG4" s="2" t="s">
        <v>107</v>
      </c>
    </row>
    <row r="5" spans="1:33" x14ac:dyDescent="0.2">
      <c r="A5" s="2">
        <v>4</v>
      </c>
      <c r="B5" s="2" t="s">
        <v>102</v>
      </c>
      <c r="C5" s="2" t="s">
        <v>103</v>
      </c>
      <c r="D5" s="2" t="s">
        <v>105</v>
      </c>
      <c r="E5" s="2" t="s">
        <v>106</v>
      </c>
      <c r="F5" s="2" t="s">
        <v>78</v>
      </c>
      <c r="G5" s="2">
        <v>12</v>
      </c>
      <c r="H5" s="2">
        <v>24</v>
      </c>
      <c r="I5" s="4">
        <v>302.8</v>
      </c>
      <c r="J5" s="4">
        <v>33.299999999999997</v>
      </c>
      <c r="K5" s="2">
        <v>3</v>
      </c>
      <c r="L5" s="4">
        <v>169.8</v>
      </c>
      <c r="M5" s="4">
        <v>6.9</v>
      </c>
      <c r="N5" s="2">
        <v>3</v>
      </c>
      <c r="O5" s="2" t="s">
        <v>75</v>
      </c>
      <c r="P5" s="2" t="s">
        <v>34</v>
      </c>
      <c r="R5" s="2" t="s">
        <v>73</v>
      </c>
      <c r="S5" s="2" t="s">
        <v>87</v>
      </c>
      <c r="T5" s="2" t="s">
        <v>73</v>
      </c>
      <c r="U5" s="2">
        <v>100</v>
      </c>
      <c r="V5" s="2" t="s">
        <v>73</v>
      </c>
      <c r="W5" s="2">
        <v>16</v>
      </c>
      <c r="X5" s="2">
        <v>37</v>
      </c>
      <c r="Y5" s="2" t="s">
        <v>98</v>
      </c>
      <c r="AB5" s="5" t="s">
        <v>116</v>
      </c>
      <c r="AC5" s="2">
        <v>2400</v>
      </c>
      <c r="AE5" s="2" t="s">
        <v>104</v>
      </c>
      <c r="AF5" s="2" t="s">
        <v>73</v>
      </c>
      <c r="AG5" s="2" t="s">
        <v>108</v>
      </c>
    </row>
    <row r="6" spans="1:33" x14ac:dyDescent="0.2">
      <c r="A6" s="2">
        <v>5</v>
      </c>
      <c r="B6" s="2" t="s">
        <v>102</v>
      </c>
      <c r="C6" s="2" t="s">
        <v>103</v>
      </c>
      <c r="D6" s="2" t="s">
        <v>105</v>
      </c>
      <c r="E6" s="2" t="s">
        <v>106</v>
      </c>
      <c r="F6" s="2" t="s">
        <v>80</v>
      </c>
      <c r="G6" s="2">
        <v>12</v>
      </c>
      <c r="H6" s="2">
        <v>24</v>
      </c>
      <c r="I6" s="4">
        <v>13.9</v>
      </c>
      <c r="J6" s="4">
        <v>0.2</v>
      </c>
      <c r="K6" s="2">
        <v>3</v>
      </c>
      <c r="L6" s="4">
        <v>7.9</v>
      </c>
      <c r="M6" s="4">
        <v>0.1</v>
      </c>
      <c r="N6" s="2">
        <v>3</v>
      </c>
      <c r="O6" s="2" t="s">
        <v>75</v>
      </c>
      <c r="P6" s="2" t="s">
        <v>34</v>
      </c>
      <c r="R6" s="2" t="s">
        <v>73</v>
      </c>
      <c r="S6" s="2" t="s">
        <v>87</v>
      </c>
      <c r="T6" s="2" t="s">
        <v>73</v>
      </c>
      <c r="U6" s="2">
        <v>100</v>
      </c>
      <c r="V6" s="2" t="s">
        <v>73</v>
      </c>
      <c r="W6" s="2">
        <v>16</v>
      </c>
      <c r="X6" s="2">
        <v>37</v>
      </c>
      <c r="Y6" s="2" t="s">
        <v>98</v>
      </c>
      <c r="AB6" s="5" t="s">
        <v>116</v>
      </c>
      <c r="AC6" s="2">
        <v>2400</v>
      </c>
      <c r="AE6" s="2" t="s">
        <v>104</v>
      </c>
      <c r="AF6" s="2" t="s">
        <v>73</v>
      </c>
      <c r="AG6" s="2" t="s">
        <v>108</v>
      </c>
    </row>
    <row r="7" spans="1:33" x14ac:dyDescent="0.2">
      <c r="A7" s="2">
        <v>6</v>
      </c>
      <c r="B7" s="2" t="s">
        <v>102</v>
      </c>
      <c r="C7" s="2" t="s">
        <v>103</v>
      </c>
      <c r="D7" s="2" t="s">
        <v>105</v>
      </c>
      <c r="E7" s="2" t="s">
        <v>106</v>
      </c>
      <c r="F7" s="2" t="s">
        <v>78</v>
      </c>
      <c r="G7" s="2">
        <v>12</v>
      </c>
      <c r="H7" s="2">
        <v>24</v>
      </c>
      <c r="I7" s="4">
        <v>271.7</v>
      </c>
      <c r="J7" s="4">
        <v>9.6999999999999993</v>
      </c>
      <c r="K7" s="2">
        <v>3</v>
      </c>
      <c r="L7" s="4">
        <v>114.1</v>
      </c>
      <c r="M7" s="4">
        <v>14.6</v>
      </c>
      <c r="N7" s="2">
        <v>3</v>
      </c>
      <c r="O7" s="2" t="s">
        <v>75</v>
      </c>
      <c r="P7" s="2" t="s">
        <v>34</v>
      </c>
      <c r="R7" s="2" t="s">
        <v>73</v>
      </c>
      <c r="S7" s="2" t="s">
        <v>73</v>
      </c>
      <c r="T7" s="2" t="s">
        <v>73</v>
      </c>
      <c r="U7" s="2">
        <v>100</v>
      </c>
      <c r="V7" s="2" t="s">
        <v>73</v>
      </c>
      <c r="W7" s="2">
        <v>16</v>
      </c>
      <c r="X7" s="2">
        <v>37</v>
      </c>
      <c r="Y7" s="2" t="s">
        <v>98</v>
      </c>
      <c r="AB7" s="5" t="s">
        <v>116</v>
      </c>
      <c r="AC7" s="2">
        <v>560</v>
      </c>
      <c r="AE7" s="2" t="s">
        <v>104</v>
      </c>
      <c r="AF7" s="2" t="s">
        <v>73</v>
      </c>
      <c r="AG7" s="2" t="s">
        <v>109</v>
      </c>
    </row>
    <row r="8" spans="1:33" x14ac:dyDescent="0.2">
      <c r="A8" s="2">
        <v>7</v>
      </c>
      <c r="B8" s="2" t="s">
        <v>102</v>
      </c>
      <c r="C8" s="2" t="s">
        <v>103</v>
      </c>
      <c r="D8" s="2" t="s">
        <v>105</v>
      </c>
      <c r="E8" s="2" t="s">
        <v>106</v>
      </c>
      <c r="F8" s="2" t="s">
        <v>80</v>
      </c>
      <c r="G8" s="2">
        <v>12</v>
      </c>
      <c r="H8" s="2">
        <v>24</v>
      </c>
      <c r="I8" s="4">
        <v>6.3</v>
      </c>
      <c r="J8" s="4">
        <v>0.2</v>
      </c>
      <c r="K8" s="2">
        <v>3</v>
      </c>
      <c r="L8" s="4">
        <v>4.8</v>
      </c>
      <c r="M8" s="4">
        <v>0.5</v>
      </c>
      <c r="N8" s="2">
        <v>3</v>
      </c>
      <c r="O8" s="2" t="s">
        <v>75</v>
      </c>
      <c r="P8" s="2" t="s">
        <v>34</v>
      </c>
      <c r="R8" s="2" t="s">
        <v>73</v>
      </c>
      <c r="S8" s="2" t="s">
        <v>73</v>
      </c>
      <c r="T8" s="2" t="s">
        <v>73</v>
      </c>
      <c r="U8" s="2">
        <v>100</v>
      </c>
      <c r="V8" s="2" t="s">
        <v>73</v>
      </c>
      <c r="W8" s="2">
        <v>16</v>
      </c>
      <c r="X8" s="2">
        <v>37</v>
      </c>
      <c r="Y8" s="2" t="s">
        <v>98</v>
      </c>
      <c r="AB8" s="5" t="s">
        <v>116</v>
      </c>
      <c r="AC8" s="2">
        <v>560</v>
      </c>
      <c r="AE8" s="2" t="s">
        <v>104</v>
      </c>
      <c r="AF8" s="2" t="s">
        <v>73</v>
      </c>
      <c r="AG8" s="2" t="s">
        <v>109</v>
      </c>
    </row>
    <row r="9" spans="1:33" x14ac:dyDescent="0.2">
      <c r="A9" s="2">
        <v>8</v>
      </c>
      <c r="B9" s="2" t="s">
        <v>102</v>
      </c>
      <c r="C9" s="2" t="s">
        <v>103</v>
      </c>
      <c r="D9" s="2" t="s">
        <v>105</v>
      </c>
      <c r="E9" s="2" t="s">
        <v>106</v>
      </c>
      <c r="F9" s="2" t="s">
        <v>78</v>
      </c>
      <c r="G9" s="2">
        <v>12</v>
      </c>
      <c r="H9" s="2">
        <v>24</v>
      </c>
      <c r="I9" s="4">
        <v>218.1</v>
      </c>
      <c r="J9" s="4">
        <v>60.2</v>
      </c>
      <c r="K9" s="2">
        <v>3</v>
      </c>
      <c r="L9" s="4">
        <v>141.9</v>
      </c>
      <c r="M9" s="4">
        <v>6.6</v>
      </c>
      <c r="N9" s="2">
        <v>3</v>
      </c>
      <c r="O9" s="2" t="s">
        <v>75</v>
      </c>
      <c r="P9" s="2" t="s">
        <v>34</v>
      </c>
      <c r="R9" s="2" t="s">
        <v>73</v>
      </c>
      <c r="S9" s="2" t="s">
        <v>73</v>
      </c>
      <c r="T9" s="2" t="s">
        <v>73</v>
      </c>
      <c r="U9" s="2">
        <v>100</v>
      </c>
      <c r="V9" s="2" t="s">
        <v>73</v>
      </c>
      <c r="W9" s="2">
        <v>16</v>
      </c>
      <c r="X9" s="2">
        <v>37</v>
      </c>
      <c r="Y9" s="2" t="s">
        <v>98</v>
      </c>
      <c r="AB9" s="5" t="s">
        <v>116</v>
      </c>
      <c r="AC9" s="2">
        <v>2400</v>
      </c>
      <c r="AE9" s="2" t="s">
        <v>104</v>
      </c>
      <c r="AF9" s="2" t="s">
        <v>73</v>
      </c>
      <c r="AG9" s="2" t="s">
        <v>111</v>
      </c>
    </row>
    <row r="10" spans="1:33" x14ac:dyDescent="0.2">
      <c r="A10" s="2">
        <v>9</v>
      </c>
      <c r="B10" s="2" t="s">
        <v>102</v>
      </c>
      <c r="C10" s="2" t="s">
        <v>103</v>
      </c>
      <c r="D10" s="2" t="s">
        <v>105</v>
      </c>
      <c r="E10" s="2" t="s">
        <v>106</v>
      </c>
      <c r="F10" s="2" t="s">
        <v>80</v>
      </c>
      <c r="G10" s="2">
        <v>12</v>
      </c>
      <c r="H10" s="2">
        <v>24</v>
      </c>
      <c r="I10" s="4">
        <v>7.5</v>
      </c>
      <c r="J10" s="4">
        <v>0.3</v>
      </c>
      <c r="K10" s="2">
        <v>3</v>
      </c>
      <c r="L10" s="4">
        <v>5.7</v>
      </c>
      <c r="M10" s="4">
        <v>0.2</v>
      </c>
      <c r="N10" s="2">
        <v>3</v>
      </c>
      <c r="O10" s="2" t="s">
        <v>75</v>
      </c>
      <c r="P10" s="2" t="s">
        <v>34</v>
      </c>
      <c r="R10" s="2" t="s">
        <v>73</v>
      </c>
      <c r="S10" s="2" t="s">
        <v>73</v>
      </c>
      <c r="T10" s="2" t="s">
        <v>73</v>
      </c>
      <c r="U10" s="2">
        <v>100</v>
      </c>
      <c r="V10" s="2" t="s">
        <v>73</v>
      </c>
      <c r="W10" s="2">
        <v>16</v>
      </c>
      <c r="X10" s="2">
        <v>37</v>
      </c>
      <c r="Y10" s="2" t="s">
        <v>98</v>
      </c>
      <c r="AB10" s="5" t="s">
        <v>116</v>
      </c>
      <c r="AC10" s="2">
        <v>2400</v>
      </c>
      <c r="AE10" s="2" t="s">
        <v>104</v>
      </c>
      <c r="AF10" s="2" t="s">
        <v>73</v>
      </c>
      <c r="AG10" s="2" t="s">
        <v>111</v>
      </c>
    </row>
    <row r="11" spans="1:33" x14ac:dyDescent="0.2">
      <c r="A11" s="2">
        <v>10</v>
      </c>
      <c r="B11" s="2" t="s">
        <v>102</v>
      </c>
      <c r="C11" s="2" t="s">
        <v>103</v>
      </c>
      <c r="D11" s="2" t="s">
        <v>105</v>
      </c>
      <c r="E11" s="2" t="s">
        <v>106</v>
      </c>
      <c r="F11" s="2" t="s">
        <v>78</v>
      </c>
      <c r="G11" s="2">
        <v>12</v>
      </c>
      <c r="H11" s="2">
        <v>24</v>
      </c>
      <c r="I11" s="4">
        <v>466</v>
      </c>
      <c r="J11" s="4">
        <v>74.2</v>
      </c>
      <c r="K11" s="2">
        <v>3</v>
      </c>
      <c r="L11" s="4">
        <v>261.8</v>
      </c>
      <c r="M11" s="4">
        <v>18.3</v>
      </c>
      <c r="N11" s="2">
        <v>3</v>
      </c>
      <c r="O11" s="2" t="s">
        <v>75</v>
      </c>
      <c r="P11" s="2" t="s">
        <v>34</v>
      </c>
      <c r="R11" s="2" t="s">
        <v>87</v>
      </c>
      <c r="S11" s="2" t="s">
        <v>73</v>
      </c>
      <c r="T11" s="2" t="s">
        <v>73</v>
      </c>
      <c r="U11" s="2">
        <v>100</v>
      </c>
      <c r="V11" s="2" t="s">
        <v>73</v>
      </c>
      <c r="W11" s="2">
        <v>16</v>
      </c>
      <c r="X11" s="2">
        <v>37</v>
      </c>
      <c r="Y11" s="2" t="s">
        <v>98</v>
      </c>
      <c r="AB11" s="5" t="s">
        <v>116</v>
      </c>
      <c r="AC11" s="2">
        <v>560</v>
      </c>
      <c r="AE11" s="2" t="s">
        <v>104</v>
      </c>
      <c r="AF11" s="2" t="s">
        <v>73</v>
      </c>
      <c r="AG11" s="2" t="s">
        <v>110</v>
      </c>
    </row>
    <row r="12" spans="1:33" x14ac:dyDescent="0.2">
      <c r="A12" s="2">
        <v>11</v>
      </c>
      <c r="B12" s="2" t="s">
        <v>102</v>
      </c>
      <c r="C12" s="2" t="s">
        <v>103</v>
      </c>
      <c r="D12" s="2" t="s">
        <v>105</v>
      </c>
      <c r="E12" s="2" t="s">
        <v>106</v>
      </c>
      <c r="F12" s="2" t="s">
        <v>80</v>
      </c>
      <c r="G12" s="2">
        <v>12</v>
      </c>
      <c r="H12" s="2">
        <v>24</v>
      </c>
      <c r="I12" s="4">
        <v>8.1999999999999993</v>
      </c>
      <c r="J12" s="4">
        <v>0.1</v>
      </c>
      <c r="K12" s="2">
        <v>3</v>
      </c>
      <c r="L12" s="4">
        <v>8.3000000000000007</v>
      </c>
      <c r="M12" s="4">
        <v>0.7</v>
      </c>
      <c r="N12" s="2">
        <v>3</v>
      </c>
      <c r="O12" s="2" t="s">
        <v>75</v>
      </c>
      <c r="P12" s="2" t="s">
        <v>34</v>
      </c>
      <c r="R12" s="2" t="s">
        <v>87</v>
      </c>
      <c r="S12" s="2" t="s">
        <v>73</v>
      </c>
      <c r="T12" s="2" t="s">
        <v>73</v>
      </c>
      <c r="U12" s="2">
        <v>100</v>
      </c>
      <c r="V12" s="2" t="s">
        <v>73</v>
      </c>
      <c r="W12" s="2">
        <v>16</v>
      </c>
      <c r="X12" s="2">
        <v>37</v>
      </c>
      <c r="Y12" s="2" t="s">
        <v>98</v>
      </c>
      <c r="AB12" s="5" t="s">
        <v>116</v>
      </c>
      <c r="AC12" s="2">
        <v>560</v>
      </c>
      <c r="AE12" s="2" t="s">
        <v>104</v>
      </c>
      <c r="AF12" s="2" t="s">
        <v>73</v>
      </c>
      <c r="AG12" s="2" t="s">
        <v>110</v>
      </c>
    </row>
    <row r="13" spans="1:33" x14ac:dyDescent="0.2">
      <c r="A13" s="2">
        <v>12</v>
      </c>
      <c r="B13" s="2" t="s">
        <v>102</v>
      </c>
      <c r="C13" s="2" t="s">
        <v>103</v>
      </c>
      <c r="D13" s="2" t="s">
        <v>105</v>
      </c>
      <c r="E13" s="2" t="s">
        <v>106</v>
      </c>
      <c r="F13" s="2" t="s">
        <v>78</v>
      </c>
      <c r="G13" s="2">
        <v>12</v>
      </c>
      <c r="H13" s="2">
        <v>24</v>
      </c>
      <c r="I13" s="4">
        <v>502.8</v>
      </c>
      <c r="J13" s="4">
        <v>52.3</v>
      </c>
      <c r="K13" s="2">
        <v>3</v>
      </c>
      <c r="L13" s="4">
        <v>357</v>
      </c>
      <c r="M13" s="4">
        <v>18</v>
      </c>
      <c r="N13" s="2">
        <v>3</v>
      </c>
      <c r="O13" s="2" t="s">
        <v>75</v>
      </c>
      <c r="P13" s="2" t="s">
        <v>34</v>
      </c>
      <c r="R13" s="2" t="s">
        <v>87</v>
      </c>
      <c r="S13" s="2" t="s">
        <v>73</v>
      </c>
      <c r="T13" s="2" t="s">
        <v>73</v>
      </c>
      <c r="U13" s="2">
        <v>100</v>
      </c>
      <c r="V13" s="2" t="s">
        <v>73</v>
      </c>
      <c r="W13" s="2">
        <v>16</v>
      </c>
      <c r="X13" s="2">
        <v>37</v>
      </c>
      <c r="Y13" s="2" t="s">
        <v>98</v>
      </c>
      <c r="AB13" s="5" t="s">
        <v>116</v>
      </c>
      <c r="AC13" s="2">
        <v>2400</v>
      </c>
      <c r="AE13" s="2" t="s">
        <v>104</v>
      </c>
      <c r="AF13" s="2" t="s">
        <v>73</v>
      </c>
      <c r="AG13" s="2" t="s">
        <v>112</v>
      </c>
    </row>
    <row r="14" spans="1:33" x14ac:dyDescent="0.2">
      <c r="A14" s="2">
        <v>13</v>
      </c>
      <c r="B14" s="2" t="s">
        <v>102</v>
      </c>
      <c r="C14" s="2" t="s">
        <v>103</v>
      </c>
      <c r="D14" s="2" t="s">
        <v>105</v>
      </c>
      <c r="E14" s="2" t="s">
        <v>106</v>
      </c>
      <c r="F14" s="2" t="s">
        <v>80</v>
      </c>
      <c r="G14" s="2">
        <v>12</v>
      </c>
      <c r="H14" s="2">
        <v>24</v>
      </c>
      <c r="I14" s="4">
        <v>7</v>
      </c>
      <c r="J14" s="4">
        <v>0.2</v>
      </c>
      <c r="K14" s="2">
        <v>3</v>
      </c>
      <c r="L14" s="4">
        <v>8.6</v>
      </c>
      <c r="M14" s="4">
        <v>0.2</v>
      </c>
      <c r="N14" s="2">
        <v>3</v>
      </c>
      <c r="O14" s="2" t="s">
        <v>75</v>
      </c>
      <c r="P14" s="2" t="s">
        <v>34</v>
      </c>
      <c r="R14" s="2" t="s">
        <v>87</v>
      </c>
      <c r="S14" s="2" t="s">
        <v>73</v>
      </c>
      <c r="T14" s="2" t="s">
        <v>73</v>
      </c>
      <c r="U14" s="2">
        <v>100</v>
      </c>
      <c r="V14" s="2" t="s">
        <v>73</v>
      </c>
      <c r="W14" s="2">
        <v>16</v>
      </c>
      <c r="X14" s="2">
        <v>37</v>
      </c>
      <c r="Y14" s="2" t="s">
        <v>98</v>
      </c>
      <c r="AB14" s="5" t="s">
        <v>116</v>
      </c>
      <c r="AC14" s="2">
        <v>2400</v>
      </c>
      <c r="AE14" s="2" t="s">
        <v>104</v>
      </c>
      <c r="AF14" s="2" t="s">
        <v>73</v>
      </c>
      <c r="AG14" s="2" t="s">
        <v>112</v>
      </c>
    </row>
    <row r="15" spans="1:33" x14ac:dyDescent="0.2">
      <c r="A15" s="2">
        <v>14</v>
      </c>
      <c r="B15" s="2" t="s">
        <v>119</v>
      </c>
      <c r="C15" s="2" t="s">
        <v>236</v>
      </c>
      <c r="D15" s="2" t="s">
        <v>121</v>
      </c>
      <c r="E15" s="2" t="s">
        <v>122</v>
      </c>
      <c r="F15" s="2" t="s">
        <v>78</v>
      </c>
      <c r="G15" s="2">
        <v>12</v>
      </c>
      <c r="H15" s="2">
        <v>24</v>
      </c>
      <c r="I15" s="4">
        <v>215.24799999999999</v>
      </c>
      <c r="J15" s="4">
        <v>7.3890000000000002</v>
      </c>
      <c r="K15" s="2">
        <v>3</v>
      </c>
      <c r="L15" s="4">
        <v>223.827</v>
      </c>
      <c r="M15" s="4">
        <v>6.5960000000000001</v>
      </c>
      <c r="N15" s="2">
        <v>3</v>
      </c>
      <c r="O15" s="2" t="s">
        <v>75</v>
      </c>
      <c r="P15" s="2" t="s">
        <v>34</v>
      </c>
      <c r="R15" s="2" t="s">
        <v>73</v>
      </c>
      <c r="S15" s="2" t="s">
        <v>87</v>
      </c>
      <c r="T15" s="2" t="s">
        <v>73</v>
      </c>
      <c r="U15" s="2">
        <v>100</v>
      </c>
      <c r="V15" s="2" t="s">
        <v>73</v>
      </c>
      <c r="W15" s="2">
        <v>16</v>
      </c>
      <c r="X15" s="2">
        <v>37</v>
      </c>
      <c r="Y15" s="2" t="s">
        <v>98</v>
      </c>
      <c r="AB15" s="5" t="s">
        <v>116</v>
      </c>
      <c r="AE15" s="2" t="s">
        <v>123</v>
      </c>
      <c r="AF15" s="2" t="s">
        <v>87</v>
      </c>
      <c r="AG15" s="2" t="s">
        <v>124</v>
      </c>
    </row>
    <row r="16" spans="1:33" x14ac:dyDescent="0.2">
      <c r="A16" s="2">
        <v>15</v>
      </c>
      <c r="B16" s="2" t="s">
        <v>119</v>
      </c>
      <c r="C16" s="2" t="s">
        <v>236</v>
      </c>
      <c r="D16" s="2" t="s">
        <v>121</v>
      </c>
      <c r="E16" s="2" t="s">
        <v>122</v>
      </c>
      <c r="F16" s="2" t="s">
        <v>80</v>
      </c>
      <c r="G16" s="2">
        <v>12</v>
      </c>
      <c r="H16" s="2">
        <v>24</v>
      </c>
      <c r="I16" s="4">
        <v>12.6</v>
      </c>
      <c r="J16" s="4">
        <v>0.221</v>
      </c>
      <c r="K16" s="2">
        <v>3</v>
      </c>
      <c r="L16" s="4">
        <v>13.682</v>
      </c>
      <c r="M16" s="4">
        <v>0.20100000000000001</v>
      </c>
      <c r="N16" s="2">
        <v>3</v>
      </c>
      <c r="O16" s="2" t="s">
        <v>75</v>
      </c>
      <c r="P16" s="2" t="s">
        <v>34</v>
      </c>
      <c r="R16" s="2" t="s">
        <v>73</v>
      </c>
      <c r="S16" s="2" t="s">
        <v>87</v>
      </c>
      <c r="T16" s="2" t="s">
        <v>73</v>
      </c>
      <c r="U16" s="2">
        <v>100</v>
      </c>
      <c r="V16" s="2" t="s">
        <v>73</v>
      </c>
      <c r="W16" s="2">
        <v>16</v>
      </c>
      <c r="X16" s="2">
        <v>37</v>
      </c>
      <c r="Y16" s="2" t="s">
        <v>98</v>
      </c>
      <c r="AB16" s="5" t="s">
        <v>116</v>
      </c>
      <c r="AE16" s="2" t="s">
        <v>123</v>
      </c>
      <c r="AF16" s="2" t="s">
        <v>87</v>
      </c>
      <c r="AG16" s="2" t="s">
        <v>124</v>
      </c>
    </row>
    <row r="17" spans="1:33" x14ac:dyDescent="0.2">
      <c r="A17" s="2">
        <v>16</v>
      </c>
      <c r="B17" s="2" t="s">
        <v>119</v>
      </c>
      <c r="C17" s="2" t="s">
        <v>236</v>
      </c>
      <c r="D17" s="2" t="s">
        <v>121</v>
      </c>
      <c r="E17" s="2" t="s">
        <v>122</v>
      </c>
      <c r="F17" s="2" t="s">
        <v>78</v>
      </c>
      <c r="G17" s="2">
        <v>12</v>
      </c>
      <c r="H17" s="2">
        <v>24</v>
      </c>
      <c r="I17" s="4">
        <v>288.19</v>
      </c>
      <c r="J17" s="4">
        <v>43.115000000000002</v>
      </c>
      <c r="K17" s="2">
        <v>3</v>
      </c>
      <c r="L17" s="4">
        <v>217.833</v>
      </c>
      <c r="M17" s="4">
        <v>12.86</v>
      </c>
      <c r="N17" s="2">
        <v>3</v>
      </c>
      <c r="O17" s="2" t="s">
        <v>75</v>
      </c>
      <c r="P17" s="2" t="s">
        <v>34</v>
      </c>
      <c r="R17" s="2" t="s">
        <v>73</v>
      </c>
      <c r="S17" s="2" t="s">
        <v>73</v>
      </c>
      <c r="T17" s="2" t="s">
        <v>73</v>
      </c>
      <c r="U17" s="2">
        <v>100</v>
      </c>
      <c r="V17" s="2" t="s">
        <v>73</v>
      </c>
      <c r="W17" s="2">
        <v>16</v>
      </c>
      <c r="X17" s="2">
        <v>37</v>
      </c>
      <c r="Y17" s="2" t="s">
        <v>98</v>
      </c>
      <c r="AB17" s="5" t="s">
        <v>116</v>
      </c>
      <c r="AE17" s="2" t="s">
        <v>123</v>
      </c>
      <c r="AF17" s="2" t="s">
        <v>87</v>
      </c>
      <c r="AG17" s="2" t="s">
        <v>125</v>
      </c>
    </row>
    <row r="18" spans="1:33" x14ac:dyDescent="0.2">
      <c r="A18" s="2">
        <v>17</v>
      </c>
      <c r="B18" s="2" t="s">
        <v>119</v>
      </c>
      <c r="C18" s="2" t="s">
        <v>236</v>
      </c>
      <c r="D18" s="2" t="s">
        <v>121</v>
      </c>
      <c r="E18" s="2" t="s">
        <v>122</v>
      </c>
      <c r="F18" s="2" t="s">
        <v>80</v>
      </c>
      <c r="G18" s="2">
        <v>12</v>
      </c>
      <c r="H18" s="2">
        <v>24</v>
      </c>
      <c r="I18" s="4">
        <v>12</v>
      </c>
      <c r="J18" s="4">
        <v>0.34799999999999998</v>
      </c>
      <c r="K18" s="2">
        <v>3</v>
      </c>
      <c r="L18" s="4">
        <v>9.0519999999999996</v>
      </c>
      <c r="M18" s="4">
        <v>0.13400000000000001</v>
      </c>
      <c r="N18" s="2">
        <v>3</v>
      </c>
      <c r="O18" s="2" t="s">
        <v>75</v>
      </c>
      <c r="P18" s="2" t="s">
        <v>34</v>
      </c>
      <c r="R18" s="2" t="s">
        <v>73</v>
      </c>
      <c r="S18" s="2" t="s">
        <v>73</v>
      </c>
      <c r="T18" s="2" t="s">
        <v>73</v>
      </c>
      <c r="U18" s="2">
        <v>100</v>
      </c>
      <c r="V18" s="2" t="s">
        <v>73</v>
      </c>
      <c r="W18" s="2">
        <v>16</v>
      </c>
      <c r="X18" s="2">
        <v>37</v>
      </c>
      <c r="Y18" s="2" t="s">
        <v>98</v>
      </c>
      <c r="AB18" s="5" t="s">
        <v>116</v>
      </c>
      <c r="AE18" s="2" t="s">
        <v>123</v>
      </c>
      <c r="AF18" s="2" t="s">
        <v>87</v>
      </c>
      <c r="AG18" s="2" t="s">
        <v>126</v>
      </c>
    </row>
    <row r="19" spans="1:33" x14ac:dyDescent="0.2">
      <c r="A19" s="2">
        <v>18</v>
      </c>
      <c r="B19" s="2" t="s">
        <v>119</v>
      </c>
      <c r="C19" s="2" t="s">
        <v>236</v>
      </c>
      <c r="D19" s="2" t="s">
        <v>121</v>
      </c>
      <c r="E19" s="2" t="s">
        <v>122</v>
      </c>
      <c r="F19" s="2" t="s">
        <v>78</v>
      </c>
      <c r="G19" s="2">
        <v>12</v>
      </c>
      <c r="H19" s="2">
        <v>24</v>
      </c>
      <c r="I19" s="4">
        <v>367.72800000000001</v>
      </c>
      <c r="J19" s="4">
        <v>41.244</v>
      </c>
      <c r="K19" s="2">
        <v>3</v>
      </c>
      <c r="L19" s="4">
        <v>361.90899999999999</v>
      </c>
      <c r="M19" s="4">
        <v>6.7389999999999999</v>
      </c>
      <c r="N19" s="2">
        <v>3</v>
      </c>
      <c r="O19" s="2" t="s">
        <v>75</v>
      </c>
      <c r="P19" s="2" t="s">
        <v>34</v>
      </c>
      <c r="R19" s="2" t="s">
        <v>87</v>
      </c>
      <c r="S19" s="2" t="s">
        <v>73</v>
      </c>
      <c r="T19" s="2" t="s">
        <v>73</v>
      </c>
      <c r="U19" s="2">
        <v>100</v>
      </c>
      <c r="V19" s="2" t="s">
        <v>73</v>
      </c>
      <c r="W19" s="2">
        <v>16</v>
      </c>
      <c r="X19" s="2">
        <v>37</v>
      </c>
      <c r="Y19" s="2" t="s">
        <v>98</v>
      </c>
      <c r="AB19" s="5" t="s">
        <v>116</v>
      </c>
      <c r="AE19" s="2" t="s">
        <v>123</v>
      </c>
      <c r="AF19" s="2" t="s">
        <v>87</v>
      </c>
      <c r="AG19" s="2" t="s">
        <v>127</v>
      </c>
    </row>
    <row r="20" spans="1:33" x14ac:dyDescent="0.2">
      <c r="A20" s="2">
        <v>19</v>
      </c>
      <c r="B20" s="2" t="s">
        <v>119</v>
      </c>
      <c r="C20" s="2" t="s">
        <v>236</v>
      </c>
      <c r="D20" s="2" t="s">
        <v>121</v>
      </c>
      <c r="E20" s="2" t="s">
        <v>122</v>
      </c>
      <c r="F20" s="2" t="s">
        <v>80</v>
      </c>
      <c r="G20" s="2">
        <v>12</v>
      </c>
      <c r="H20" s="2">
        <v>24</v>
      </c>
      <c r="I20" s="4">
        <v>11.526</v>
      </c>
      <c r="J20" s="4">
        <v>0.41899999999999998</v>
      </c>
      <c r="K20" s="2">
        <v>3</v>
      </c>
      <c r="L20" s="4">
        <v>10.233000000000001</v>
      </c>
      <c r="M20" s="4">
        <v>0.124</v>
      </c>
      <c r="N20" s="2">
        <v>3</v>
      </c>
      <c r="O20" s="2" t="s">
        <v>75</v>
      </c>
      <c r="P20" s="2" t="s">
        <v>34</v>
      </c>
      <c r="R20" s="2" t="s">
        <v>87</v>
      </c>
      <c r="S20" s="2" t="s">
        <v>73</v>
      </c>
      <c r="T20" s="2" t="s">
        <v>73</v>
      </c>
      <c r="U20" s="2">
        <v>100</v>
      </c>
      <c r="V20" s="2" t="s">
        <v>73</v>
      </c>
      <c r="W20" s="2">
        <v>16</v>
      </c>
      <c r="X20" s="2">
        <v>37</v>
      </c>
      <c r="Y20" s="2" t="s">
        <v>98</v>
      </c>
      <c r="AB20" s="5" t="s">
        <v>116</v>
      </c>
      <c r="AE20" s="2" t="s">
        <v>123</v>
      </c>
      <c r="AF20" s="2" t="s">
        <v>87</v>
      </c>
      <c r="AG20" s="2" t="s">
        <v>127</v>
      </c>
    </row>
    <row r="21" spans="1:33" x14ac:dyDescent="0.2">
      <c r="A21" s="2">
        <v>20</v>
      </c>
      <c r="B21" s="2" t="s">
        <v>140</v>
      </c>
      <c r="C21" s="2" t="s">
        <v>236</v>
      </c>
      <c r="D21" s="2" t="s">
        <v>121</v>
      </c>
      <c r="E21" s="2" t="s">
        <v>122</v>
      </c>
      <c r="F21" s="2" t="s">
        <v>78</v>
      </c>
      <c r="G21" s="2">
        <v>14</v>
      </c>
      <c r="H21" s="2">
        <v>18</v>
      </c>
      <c r="I21" s="4">
        <v>1008</v>
      </c>
      <c r="J21" s="4">
        <v>176.11167366191259</v>
      </c>
      <c r="K21" s="2">
        <v>3</v>
      </c>
      <c r="L21" s="4">
        <v>1123.2876712328768</v>
      </c>
      <c r="M21" s="4">
        <v>68.455638481117276</v>
      </c>
      <c r="N21" s="2">
        <v>3</v>
      </c>
      <c r="O21" s="2" t="s">
        <v>141</v>
      </c>
      <c r="Q21" s="2">
        <v>0.1</v>
      </c>
      <c r="R21" s="2" t="s">
        <v>87</v>
      </c>
      <c r="S21" s="2" t="s">
        <v>87</v>
      </c>
      <c r="T21" s="2" t="s">
        <v>87</v>
      </c>
      <c r="U21" s="2">
        <v>300</v>
      </c>
      <c r="V21" s="2" t="s">
        <v>73</v>
      </c>
      <c r="W21" s="2">
        <v>16</v>
      </c>
      <c r="X21" s="2">
        <v>32</v>
      </c>
      <c r="Y21" s="2" t="s">
        <v>98</v>
      </c>
      <c r="AB21" s="2" t="s">
        <v>116</v>
      </c>
      <c r="AC21" s="2">
        <v>900</v>
      </c>
      <c r="AE21" s="2" t="s">
        <v>142</v>
      </c>
      <c r="AF21" s="2" t="s">
        <v>73</v>
      </c>
      <c r="AG21" s="2" t="s">
        <v>144</v>
      </c>
    </row>
    <row r="22" spans="1:33" x14ac:dyDescent="0.2">
      <c r="A22" s="2">
        <v>21</v>
      </c>
      <c r="B22" s="2" t="s">
        <v>140</v>
      </c>
      <c r="C22" s="2" t="s">
        <v>236</v>
      </c>
      <c r="D22" s="2" t="s">
        <v>121</v>
      </c>
      <c r="E22" s="2" t="s">
        <v>122</v>
      </c>
      <c r="F22" s="2" t="s">
        <v>80</v>
      </c>
      <c r="G22" s="2">
        <v>14</v>
      </c>
      <c r="H22" s="2">
        <v>18</v>
      </c>
      <c r="I22" s="4">
        <v>36</v>
      </c>
      <c r="J22" s="4">
        <v>5.8187592477841408</v>
      </c>
      <c r="K22" s="2">
        <v>3</v>
      </c>
      <c r="L22" s="4">
        <v>40.327868852459019</v>
      </c>
      <c r="M22" s="4">
        <v>2.3702757097571139</v>
      </c>
      <c r="N22" s="2">
        <v>3</v>
      </c>
      <c r="O22" s="2" t="s">
        <v>141</v>
      </c>
      <c r="Q22" s="2">
        <v>0.1</v>
      </c>
      <c r="R22" s="2" t="s">
        <v>87</v>
      </c>
      <c r="S22" s="2" t="s">
        <v>87</v>
      </c>
      <c r="T22" s="2" t="s">
        <v>87</v>
      </c>
      <c r="U22" s="2">
        <v>300</v>
      </c>
      <c r="V22" s="2" t="s">
        <v>73</v>
      </c>
      <c r="W22" s="2">
        <v>16</v>
      </c>
      <c r="X22" s="2">
        <v>32</v>
      </c>
      <c r="Y22" s="2" t="s">
        <v>98</v>
      </c>
      <c r="AB22" s="2" t="s">
        <v>116</v>
      </c>
      <c r="AC22" s="2">
        <v>900</v>
      </c>
      <c r="AE22" s="2" t="s">
        <v>142</v>
      </c>
      <c r="AF22" s="2" t="s">
        <v>73</v>
      </c>
      <c r="AG22" s="2" t="s">
        <v>144</v>
      </c>
    </row>
    <row r="23" spans="1:33" x14ac:dyDescent="0.2">
      <c r="A23" s="2">
        <v>22</v>
      </c>
      <c r="B23" s="2" t="s">
        <v>140</v>
      </c>
      <c r="C23" s="2" t="s">
        <v>236</v>
      </c>
      <c r="D23" s="2" t="s">
        <v>121</v>
      </c>
      <c r="E23" s="2" t="s">
        <v>122</v>
      </c>
      <c r="F23" s="2" t="s">
        <v>78</v>
      </c>
      <c r="G23" s="2">
        <v>14</v>
      </c>
      <c r="H23" s="2">
        <v>18</v>
      </c>
      <c r="I23" s="4">
        <v>697.09543568464721</v>
      </c>
      <c r="J23" s="4">
        <v>47.514306284241037</v>
      </c>
      <c r="K23" s="2">
        <v>3</v>
      </c>
      <c r="L23" s="4">
        <v>716.59919028340073</v>
      </c>
      <c r="M23" s="4">
        <v>139.25814224130863</v>
      </c>
      <c r="N23" s="2">
        <v>3</v>
      </c>
      <c r="O23" s="2" t="s">
        <v>141</v>
      </c>
      <c r="Q23" s="2">
        <v>0.3</v>
      </c>
      <c r="R23" s="2" t="s">
        <v>87</v>
      </c>
      <c r="S23" s="2" t="s">
        <v>87</v>
      </c>
      <c r="T23" s="2" t="s">
        <v>73</v>
      </c>
      <c r="U23" s="2">
        <v>300</v>
      </c>
      <c r="V23" s="2" t="s">
        <v>73</v>
      </c>
      <c r="W23" s="2">
        <v>16</v>
      </c>
      <c r="X23" s="2">
        <v>32</v>
      </c>
      <c r="Y23" s="2" t="s">
        <v>98</v>
      </c>
      <c r="AB23" s="2" t="s">
        <v>116</v>
      </c>
      <c r="AC23" s="2">
        <v>900</v>
      </c>
      <c r="AE23" s="2" t="s">
        <v>142</v>
      </c>
      <c r="AF23" s="2" t="s">
        <v>73</v>
      </c>
      <c r="AG23" s="2" t="s">
        <v>143</v>
      </c>
    </row>
    <row r="24" spans="1:33" x14ac:dyDescent="0.2">
      <c r="A24" s="2">
        <v>23</v>
      </c>
      <c r="B24" s="2" t="s">
        <v>140</v>
      </c>
      <c r="C24" s="2" t="s">
        <v>236</v>
      </c>
      <c r="D24" s="2" t="s">
        <v>121</v>
      </c>
      <c r="E24" s="2" t="s">
        <v>122</v>
      </c>
      <c r="F24" s="2" t="s">
        <v>80</v>
      </c>
      <c r="G24" s="2">
        <v>14</v>
      </c>
      <c r="H24" s="2">
        <v>18</v>
      </c>
      <c r="I24" s="4">
        <v>23.999999999999996</v>
      </c>
      <c r="J24" s="4">
        <v>1.2125197242241681</v>
      </c>
      <c r="K24" s="2">
        <v>3</v>
      </c>
      <c r="L24" s="4">
        <v>29.5</v>
      </c>
      <c r="M24" s="4">
        <v>0</v>
      </c>
      <c r="N24" s="2">
        <v>3</v>
      </c>
      <c r="O24" s="2" t="s">
        <v>141</v>
      </c>
      <c r="Q24" s="2">
        <v>0.3</v>
      </c>
      <c r="R24" s="2" t="s">
        <v>87</v>
      </c>
      <c r="S24" s="2" t="s">
        <v>87</v>
      </c>
      <c r="T24" s="2" t="s">
        <v>73</v>
      </c>
      <c r="U24" s="2">
        <v>300</v>
      </c>
      <c r="V24" s="2" t="s">
        <v>73</v>
      </c>
      <c r="W24" s="2">
        <v>16</v>
      </c>
      <c r="X24" s="2">
        <v>32</v>
      </c>
      <c r="Y24" s="2" t="s">
        <v>98</v>
      </c>
      <c r="AB24" s="2" t="s">
        <v>116</v>
      </c>
      <c r="AC24" s="2">
        <v>900</v>
      </c>
      <c r="AE24" s="2" t="s">
        <v>142</v>
      </c>
      <c r="AF24" s="2" t="s">
        <v>73</v>
      </c>
      <c r="AG24" s="2" t="s">
        <v>143</v>
      </c>
    </row>
    <row r="25" spans="1:33" x14ac:dyDescent="0.2">
      <c r="A25" s="2">
        <v>24</v>
      </c>
      <c r="B25" s="2" t="s">
        <v>145</v>
      </c>
      <c r="C25" s="2" t="s">
        <v>198</v>
      </c>
      <c r="D25" s="2" t="s">
        <v>84</v>
      </c>
      <c r="E25" s="2" t="s">
        <v>85</v>
      </c>
      <c r="F25" s="2" t="s">
        <v>78</v>
      </c>
      <c r="G25" s="2">
        <v>10.6</v>
      </c>
      <c r="H25" s="2">
        <v>13.7</v>
      </c>
      <c r="I25" s="4">
        <v>36.200000000000003</v>
      </c>
      <c r="J25" s="4">
        <v>4</v>
      </c>
      <c r="K25" s="2">
        <v>3</v>
      </c>
      <c r="L25" s="4">
        <v>38</v>
      </c>
      <c r="M25" s="4">
        <v>4.0999999999999996</v>
      </c>
      <c r="N25" s="2">
        <v>3</v>
      </c>
      <c r="O25" s="2" t="s">
        <v>95</v>
      </c>
      <c r="P25" s="2" t="s">
        <v>616</v>
      </c>
      <c r="R25" s="2" t="s">
        <v>73</v>
      </c>
      <c r="S25" s="2" t="s">
        <v>73</v>
      </c>
      <c r="T25" s="2" t="s">
        <v>73</v>
      </c>
      <c r="U25" s="2">
        <v>30</v>
      </c>
      <c r="V25" s="2" t="s">
        <v>73</v>
      </c>
      <c r="W25" s="2">
        <v>24</v>
      </c>
      <c r="Y25" s="2" t="s">
        <v>98</v>
      </c>
      <c r="AB25" s="2" t="s">
        <v>116</v>
      </c>
      <c r="AD25" s="2">
        <v>2245</v>
      </c>
      <c r="AE25" s="2" t="s">
        <v>147</v>
      </c>
      <c r="AF25" s="2" t="s">
        <v>73</v>
      </c>
      <c r="AG25" s="2" t="s">
        <v>146</v>
      </c>
    </row>
    <row r="26" spans="1:33" x14ac:dyDescent="0.2">
      <c r="A26" s="2">
        <v>25</v>
      </c>
      <c r="B26" s="2" t="s">
        <v>145</v>
      </c>
      <c r="C26" s="2" t="s">
        <v>198</v>
      </c>
      <c r="D26" s="2" t="s">
        <v>84</v>
      </c>
      <c r="E26" s="2" t="s">
        <v>85</v>
      </c>
      <c r="F26" s="2" t="s">
        <v>80</v>
      </c>
      <c r="G26" s="2">
        <v>10.6</v>
      </c>
      <c r="H26" s="2">
        <v>13.7</v>
      </c>
      <c r="I26" s="4">
        <v>6.8</v>
      </c>
      <c r="J26" s="4">
        <v>0.8</v>
      </c>
      <c r="K26" s="2">
        <v>3</v>
      </c>
      <c r="L26" s="4">
        <v>6.5</v>
      </c>
      <c r="M26" s="4">
        <v>0.5</v>
      </c>
      <c r="N26" s="2">
        <v>3</v>
      </c>
      <c r="O26" s="2" t="s">
        <v>95</v>
      </c>
      <c r="P26" s="2" t="s">
        <v>616</v>
      </c>
      <c r="R26" s="2" t="s">
        <v>73</v>
      </c>
      <c r="S26" s="2" t="s">
        <v>73</v>
      </c>
      <c r="T26" s="2" t="s">
        <v>73</v>
      </c>
      <c r="U26" s="2">
        <v>30</v>
      </c>
      <c r="V26" s="2" t="s">
        <v>73</v>
      </c>
      <c r="W26" s="2">
        <v>24</v>
      </c>
      <c r="Y26" s="2" t="s">
        <v>98</v>
      </c>
      <c r="AB26" s="2" t="s">
        <v>116</v>
      </c>
      <c r="AD26" s="2">
        <v>2245</v>
      </c>
      <c r="AE26" s="2" t="s">
        <v>147</v>
      </c>
      <c r="AF26" s="2" t="s">
        <v>73</v>
      </c>
      <c r="AG26" s="2" t="s">
        <v>146</v>
      </c>
    </row>
    <row r="27" spans="1:33" x14ac:dyDescent="0.2">
      <c r="A27" s="2">
        <v>26</v>
      </c>
      <c r="B27" s="2" t="s">
        <v>148</v>
      </c>
      <c r="C27" s="2" t="s">
        <v>199</v>
      </c>
      <c r="D27" s="2" t="s">
        <v>92</v>
      </c>
      <c r="E27" s="2" t="s">
        <v>150</v>
      </c>
      <c r="F27" s="2" t="s">
        <v>80</v>
      </c>
      <c r="G27" s="2">
        <v>14</v>
      </c>
      <c r="H27" s="2">
        <v>30</v>
      </c>
      <c r="I27" s="4">
        <f>AVERAGE(14.9,15.1)</f>
        <v>15</v>
      </c>
      <c r="J27" s="4">
        <f>STDEV(14.9,15.1)</f>
        <v>0.141421356237309</v>
      </c>
      <c r="K27" s="2">
        <v>3</v>
      </c>
      <c r="L27" s="4">
        <v>5.0999999999999996</v>
      </c>
      <c r="M27" s="4">
        <f>L27*SQRT(3)</f>
        <v>8.8334591186012723</v>
      </c>
      <c r="N27" s="2">
        <v>3</v>
      </c>
      <c r="O27" s="2" t="s">
        <v>95</v>
      </c>
      <c r="P27" s="2" t="s">
        <v>616</v>
      </c>
      <c r="R27" s="2" t="s">
        <v>73</v>
      </c>
      <c r="S27" s="2" t="s">
        <v>73</v>
      </c>
      <c r="T27" s="2" t="s">
        <v>73</v>
      </c>
      <c r="U27" s="2">
        <v>80</v>
      </c>
      <c r="V27" s="2" t="s">
        <v>73</v>
      </c>
      <c r="W27" s="2">
        <v>12</v>
      </c>
      <c r="Y27" s="2" t="s">
        <v>89</v>
      </c>
      <c r="AA27" s="2" t="s">
        <v>73</v>
      </c>
      <c r="AB27" s="2" t="s">
        <v>152</v>
      </c>
      <c r="AE27" s="2" t="s">
        <v>151</v>
      </c>
      <c r="AF27" s="2" t="s">
        <v>87</v>
      </c>
      <c r="AG27" s="2" t="s">
        <v>611</v>
      </c>
    </row>
    <row r="28" spans="1:33" x14ac:dyDescent="0.2">
      <c r="A28" s="2">
        <v>27</v>
      </c>
      <c r="B28" s="2" t="s">
        <v>148</v>
      </c>
      <c r="C28" s="2" t="s">
        <v>199</v>
      </c>
      <c r="D28" s="2" t="s">
        <v>92</v>
      </c>
      <c r="E28" s="2" t="s">
        <v>150</v>
      </c>
      <c r="F28" s="2" t="s">
        <v>80</v>
      </c>
      <c r="G28" s="2">
        <v>14</v>
      </c>
      <c r="H28" s="2">
        <v>34</v>
      </c>
      <c r="I28" s="4">
        <v>8.2680000000000007</v>
      </c>
      <c r="J28" s="4">
        <v>0.43416356364853947</v>
      </c>
      <c r="K28" s="2">
        <v>3</v>
      </c>
      <c r="L28" s="4">
        <v>4.5605000000000002</v>
      </c>
      <c r="M28" s="4">
        <v>0.21991020894901622</v>
      </c>
      <c r="N28" s="2">
        <v>3</v>
      </c>
      <c r="O28" s="2" t="s">
        <v>95</v>
      </c>
      <c r="P28" s="2" t="s">
        <v>616</v>
      </c>
      <c r="R28" s="2" t="s">
        <v>73</v>
      </c>
      <c r="S28" s="2" t="s">
        <v>73</v>
      </c>
      <c r="T28" s="2" t="s">
        <v>73</v>
      </c>
      <c r="U28" s="2">
        <v>80</v>
      </c>
      <c r="V28" s="2" t="s">
        <v>73</v>
      </c>
      <c r="W28" s="2">
        <v>12</v>
      </c>
      <c r="Y28" s="2" t="s">
        <v>89</v>
      </c>
      <c r="AA28" s="2" t="s">
        <v>73</v>
      </c>
      <c r="AB28" s="2" t="s">
        <v>116</v>
      </c>
      <c r="AE28" s="2" t="s">
        <v>151</v>
      </c>
      <c r="AF28" s="2" t="s">
        <v>87</v>
      </c>
      <c r="AG28" s="2" t="s">
        <v>153</v>
      </c>
    </row>
    <row r="29" spans="1:33" x14ac:dyDescent="0.2">
      <c r="A29" s="2">
        <v>28</v>
      </c>
      <c r="B29" s="2" t="s">
        <v>168</v>
      </c>
      <c r="C29" s="2" t="s">
        <v>169</v>
      </c>
      <c r="D29" s="2" t="s">
        <v>121</v>
      </c>
      <c r="E29" s="2" t="s">
        <v>122</v>
      </c>
      <c r="F29" s="2" t="s">
        <v>78</v>
      </c>
      <c r="G29" s="2">
        <v>20</v>
      </c>
      <c r="H29" s="2">
        <v>24</v>
      </c>
      <c r="I29" s="4">
        <v>117</v>
      </c>
      <c r="J29" s="4">
        <v>27</v>
      </c>
      <c r="K29" s="2">
        <v>3</v>
      </c>
      <c r="L29" s="4">
        <v>108</v>
      </c>
      <c r="M29" s="4">
        <v>9</v>
      </c>
      <c r="N29" s="2">
        <v>3</v>
      </c>
      <c r="O29" s="2" t="s">
        <v>75</v>
      </c>
      <c r="P29" s="2" t="s">
        <v>34</v>
      </c>
      <c r="R29" s="2" t="s">
        <v>73</v>
      </c>
      <c r="S29" s="2" t="s">
        <v>73</v>
      </c>
      <c r="T29" s="2" t="s">
        <v>73</v>
      </c>
      <c r="U29" s="2">
        <v>50</v>
      </c>
      <c r="V29" s="2" t="s">
        <v>87</v>
      </c>
      <c r="W29" s="2">
        <v>12</v>
      </c>
      <c r="Y29" s="2" t="s">
        <v>89</v>
      </c>
      <c r="Z29" s="2">
        <v>7</v>
      </c>
      <c r="AB29" s="2" t="s">
        <v>116</v>
      </c>
      <c r="AC29" s="2">
        <v>375</v>
      </c>
      <c r="AE29" s="2" t="s">
        <v>94</v>
      </c>
      <c r="AF29" s="2" t="s">
        <v>73</v>
      </c>
      <c r="AG29" s="2" t="s">
        <v>174</v>
      </c>
    </row>
    <row r="30" spans="1:33" x14ac:dyDescent="0.2">
      <c r="A30" s="2">
        <v>29</v>
      </c>
      <c r="B30" s="2" t="s">
        <v>168</v>
      </c>
      <c r="C30" s="2" t="s">
        <v>169</v>
      </c>
      <c r="D30" s="2" t="s">
        <v>121</v>
      </c>
      <c r="E30" s="2" t="s">
        <v>122</v>
      </c>
      <c r="F30" s="2" t="s">
        <v>80</v>
      </c>
      <c r="G30" s="2">
        <v>20</v>
      </c>
      <c r="H30" s="2">
        <v>24</v>
      </c>
      <c r="I30" s="4">
        <v>6.69</v>
      </c>
      <c r="J30" s="4">
        <v>0.21</v>
      </c>
      <c r="K30" s="2">
        <v>3</v>
      </c>
      <c r="L30" s="4">
        <v>6.86</v>
      </c>
      <c r="M30" s="4">
        <v>0.21</v>
      </c>
      <c r="N30" s="2">
        <v>3</v>
      </c>
      <c r="O30" s="2" t="s">
        <v>75</v>
      </c>
      <c r="P30" s="2" t="s">
        <v>34</v>
      </c>
      <c r="R30" s="2" t="s">
        <v>73</v>
      </c>
      <c r="S30" s="2" t="s">
        <v>73</v>
      </c>
      <c r="T30" s="2" t="s">
        <v>73</v>
      </c>
      <c r="U30" s="2">
        <v>50</v>
      </c>
      <c r="V30" s="2" t="s">
        <v>87</v>
      </c>
      <c r="W30" s="2">
        <v>12</v>
      </c>
      <c r="Y30" s="2" t="s">
        <v>89</v>
      </c>
      <c r="Z30" s="2">
        <v>7</v>
      </c>
      <c r="AB30" s="2" t="s">
        <v>116</v>
      </c>
      <c r="AC30" s="2">
        <v>375</v>
      </c>
      <c r="AE30" s="2" t="s">
        <v>94</v>
      </c>
      <c r="AF30" s="2" t="s">
        <v>73</v>
      </c>
      <c r="AG30" s="2" t="s">
        <v>174</v>
      </c>
    </row>
    <row r="31" spans="1:33" x14ac:dyDescent="0.2">
      <c r="A31" s="2">
        <v>30</v>
      </c>
      <c r="B31" s="2" t="s">
        <v>168</v>
      </c>
      <c r="C31" s="2" t="s">
        <v>169</v>
      </c>
      <c r="D31" s="2" t="s">
        <v>121</v>
      </c>
      <c r="E31" s="2" t="s">
        <v>122</v>
      </c>
      <c r="F31" s="2" t="s">
        <v>78</v>
      </c>
      <c r="G31" s="2">
        <v>20</v>
      </c>
      <c r="H31" s="2">
        <v>24</v>
      </c>
      <c r="I31" s="4">
        <v>116</v>
      </c>
      <c r="J31" s="4">
        <v>5</v>
      </c>
      <c r="K31" s="2">
        <v>3</v>
      </c>
      <c r="L31" s="4">
        <v>108</v>
      </c>
      <c r="M31" s="4">
        <v>19</v>
      </c>
      <c r="N31" s="2">
        <v>3</v>
      </c>
      <c r="O31" s="2" t="s">
        <v>75</v>
      </c>
      <c r="P31" s="2" t="s">
        <v>34</v>
      </c>
      <c r="R31" s="2" t="s">
        <v>73</v>
      </c>
      <c r="S31" s="2" t="s">
        <v>73</v>
      </c>
      <c r="T31" s="2" t="s">
        <v>73</v>
      </c>
      <c r="U31" s="2">
        <v>50</v>
      </c>
      <c r="V31" s="2" t="s">
        <v>87</v>
      </c>
      <c r="W31" s="2">
        <v>12</v>
      </c>
      <c r="Y31" s="2" t="s">
        <v>89</v>
      </c>
      <c r="Z31" s="2">
        <v>7</v>
      </c>
      <c r="AB31" s="2" t="s">
        <v>116</v>
      </c>
      <c r="AC31" s="2">
        <v>750</v>
      </c>
      <c r="AE31" s="2" t="s">
        <v>94</v>
      </c>
      <c r="AF31" s="2" t="s">
        <v>73</v>
      </c>
      <c r="AG31" s="2" t="s">
        <v>175</v>
      </c>
    </row>
    <row r="32" spans="1:33" x14ac:dyDescent="0.2">
      <c r="A32" s="2">
        <v>31</v>
      </c>
      <c r="B32" s="2" t="s">
        <v>168</v>
      </c>
      <c r="C32" s="2" t="s">
        <v>169</v>
      </c>
      <c r="D32" s="2" t="s">
        <v>121</v>
      </c>
      <c r="E32" s="2" t="s">
        <v>122</v>
      </c>
      <c r="F32" s="2" t="s">
        <v>80</v>
      </c>
      <c r="G32" s="2">
        <v>20</v>
      </c>
      <c r="H32" s="2">
        <v>24</v>
      </c>
      <c r="I32" s="4">
        <v>6.5</v>
      </c>
      <c r="J32" s="4">
        <v>0.44</v>
      </c>
      <c r="K32" s="2">
        <v>3</v>
      </c>
      <c r="L32" s="4">
        <v>7.04</v>
      </c>
      <c r="M32" s="4">
        <v>0.17</v>
      </c>
      <c r="N32" s="2">
        <v>3</v>
      </c>
      <c r="O32" s="2" t="s">
        <v>75</v>
      </c>
      <c r="P32" s="2" t="s">
        <v>34</v>
      </c>
      <c r="R32" s="2" t="s">
        <v>73</v>
      </c>
      <c r="S32" s="2" t="s">
        <v>73</v>
      </c>
      <c r="T32" s="2" t="s">
        <v>73</v>
      </c>
      <c r="U32" s="2">
        <v>50</v>
      </c>
      <c r="V32" s="2" t="s">
        <v>87</v>
      </c>
      <c r="W32" s="2">
        <v>12</v>
      </c>
      <c r="Y32" s="2" t="s">
        <v>89</v>
      </c>
      <c r="Z32" s="2">
        <v>7</v>
      </c>
      <c r="AB32" s="2" t="s">
        <v>116</v>
      </c>
      <c r="AC32" s="2">
        <v>750</v>
      </c>
      <c r="AE32" s="2" t="s">
        <v>94</v>
      </c>
      <c r="AF32" s="2" t="s">
        <v>73</v>
      </c>
      <c r="AG32" s="2" t="s">
        <v>175</v>
      </c>
    </row>
    <row r="33" spans="1:33" x14ac:dyDescent="0.2">
      <c r="A33" s="2">
        <v>32</v>
      </c>
      <c r="B33" s="2" t="s">
        <v>168</v>
      </c>
      <c r="C33" s="2" t="s">
        <v>169</v>
      </c>
      <c r="D33" s="2" t="s">
        <v>121</v>
      </c>
      <c r="E33" s="2" t="s">
        <v>122</v>
      </c>
      <c r="F33" s="2" t="s">
        <v>78</v>
      </c>
      <c r="G33" s="2">
        <v>20</v>
      </c>
      <c r="H33" s="2">
        <v>24</v>
      </c>
      <c r="I33" s="4">
        <v>91</v>
      </c>
      <c r="J33" s="4">
        <v>14</v>
      </c>
      <c r="K33" s="2">
        <v>3</v>
      </c>
      <c r="L33" s="4">
        <v>82</v>
      </c>
      <c r="M33" s="4">
        <v>11</v>
      </c>
      <c r="N33" s="2">
        <v>3</v>
      </c>
      <c r="O33" s="2" t="s">
        <v>75</v>
      </c>
      <c r="P33" s="2" t="s">
        <v>34</v>
      </c>
      <c r="R33" s="2" t="s">
        <v>73</v>
      </c>
      <c r="S33" s="2" t="s">
        <v>73</v>
      </c>
      <c r="T33" s="2" t="s">
        <v>73</v>
      </c>
      <c r="U33" s="2">
        <v>400</v>
      </c>
      <c r="V33" s="2" t="s">
        <v>73</v>
      </c>
      <c r="W33" s="2">
        <v>12</v>
      </c>
      <c r="Y33" s="2" t="s">
        <v>89</v>
      </c>
      <c r="Z33" s="2">
        <v>7</v>
      </c>
      <c r="AB33" s="2" t="s">
        <v>116</v>
      </c>
      <c r="AC33" s="2">
        <v>375</v>
      </c>
      <c r="AE33" s="2" t="s">
        <v>94</v>
      </c>
      <c r="AF33" s="2" t="s">
        <v>73</v>
      </c>
      <c r="AG33" s="2" t="s">
        <v>176</v>
      </c>
    </row>
    <row r="34" spans="1:33" x14ac:dyDescent="0.2">
      <c r="A34" s="2">
        <v>33</v>
      </c>
      <c r="B34" s="2" t="s">
        <v>168</v>
      </c>
      <c r="C34" s="2" t="s">
        <v>169</v>
      </c>
      <c r="D34" s="2" t="s">
        <v>121</v>
      </c>
      <c r="E34" s="2" t="s">
        <v>122</v>
      </c>
      <c r="F34" s="2" t="s">
        <v>80</v>
      </c>
      <c r="G34" s="2">
        <v>20</v>
      </c>
      <c r="H34" s="2">
        <v>24</v>
      </c>
      <c r="I34" s="4">
        <v>6.11</v>
      </c>
      <c r="J34" s="4">
        <v>0.82</v>
      </c>
      <c r="K34" s="2">
        <v>3</v>
      </c>
      <c r="L34" s="4">
        <v>5.83</v>
      </c>
      <c r="M34" s="4">
        <v>0.68</v>
      </c>
      <c r="N34" s="2">
        <v>3</v>
      </c>
      <c r="O34" s="2" t="s">
        <v>75</v>
      </c>
      <c r="P34" s="2" t="s">
        <v>34</v>
      </c>
      <c r="R34" s="2" t="s">
        <v>73</v>
      </c>
      <c r="S34" s="2" t="s">
        <v>73</v>
      </c>
      <c r="T34" s="2" t="s">
        <v>73</v>
      </c>
      <c r="U34" s="2">
        <v>400</v>
      </c>
      <c r="V34" s="2" t="s">
        <v>73</v>
      </c>
      <c r="W34" s="2">
        <v>12</v>
      </c>
      <c r="Y34" s="2" t="s">
        <v>89</v>
      </c>
      <c r="Z34" s="2">
        <v>7</v>
      </c>
      <c r="AB34" s="2" t="s">
        <v>116</v>
      </c>
      <c r="AC34" s="2">
        <v>375</v>
      </c>
      <c r="AE34" s="2" t="s">
        <v>94</v>
      </c>
      <c r="AF34" s="2" t="s">
        <v>73</v>
      </c>
      <c r="AG34" s="2" t="s">
        <v>176</v>
      </c>
    </row>
    <row r="35" spans="1:33" x14ac:dyDescent="0.2">
      <c r="A35" s="2">
        <v>34</v>
      </c>
      <c r="B35" s="2" t="s">
        <v>168</v>
      </c>
      <c r="C35" s="2" t="s">
        <v>169</v>
      </c>
      <c r="D35" s="2" t="s">
        <v>121</v>
      </c>
      <c r="E35" s="2" t="s">
        <v>122</v>
      </c>
      <c r="F35" s="2" t="s">
        <v>78</v>
      </c>
      <c r="G35" s="2">
        <v>20</v>
      </c>
      <c r="H35" s="2">
        <v>24</v>
      </c>
      <c r="I35" s="4">
        <v>124</v>
      </c>
      <c r="J35" s="4">
        <v>18</v>
      </c>
      <c r="K35" s="2">
        <v>3</v>
      </c>
      <c r="L35" s="4">
        <v>109</v>
      </c>
      <c r="M35" s="4">
        <v>14</v>
      </c>
      <c r="N35" s="2">
        <v>3</v>
      </c>
      <c r="O35" s="2" t="s">
        <v>75</v>
      </c>
      <c r="P35" s="2" t="s">
        <v>34</v>
      </c>
      <c r="R35" s="2" t="s">
        <v>73</v>
      </c>
      <c r="S35" s="2" t="s">
        <v>73</v>
      </c>
      <c r="T35" s="2" t="s">
        <v>73</v>
      </c>
      <c r="U35" s="2">
        <v>400</v>
      </c>
      <c r="V35" s="2" t="s">
        <v>73</v>
      </c>
      <c r="W35" s="2">
        <v>12</v>
      </c>
      <c r="Y35" s="2" t="s">
        <v>89</v>
      </c>
      <c r="Z35" s="2">
        <v>7</v>
      </c>
      <c r="AB35" s="2" t="s">
        <v>116</v>
      </c>
      <c r="AC35" s="2">
        <v>750</v>
      </c>
      <c r="AE35" s="2" t="s">
        <v>94</v>
      </c>
      <c r="AF35" s="2" t="s">
        <v>73</v>
      </c>
      <c r="AG35" s="2" t="s">
        <v>177</v>
      </c>
    </row>
    <row r="36" spans="1:33" x14ac:dyDescent="0.2">
      <c r="A36" s="2">
        <v>35</v>
      </c>
      <c r="B36" s="2" t="s">
        <v>168</v>
      </c>
      <c r="C36" s="2" t="s">
        <v>169</v>
      </c>
      <c r="D36" s="2" t="s">
        <v>121</v>
      </c>
      <c r="E36" s="2" t="s">
        <v>122</v>
      </c>
      <c r="F36" s="2" t="s">
        <v>80</v>
      </c>
      <c r="G36" s="2">
        <v>20</v>
      </c>
      <c r="H36" s="2">
        <v>24</v>
      </c>
      <c r="I36" s="4">
        <v>6.98</v>
      </c>
      <c r="J36" s="4">
        <v>0.4</v>
      </c>
      <c r="K36" s="2">
        <v>3</v>
      </c>
      <c r="L36" s="4">
        <v>6.7</v>
      </c>
      <c r="M36" s="4">
        <v>0.18</v>
      </c>
      <c r="N36" s="2">
        <v>3</v>
      </c>
      <c r="O36" s="2" t="s">
        <v>75</v>
      </c>
      <c r="P36" s="2" t="s">
        <v>34</v>
      </c>
      <c r="R36" s="2" t="s">
        <v>73</v>
      </c>
      <c r="S36" s="2" t="s">
        <v>73</v>
      </c>
      <c r="T36" s="2" t="s">
        <v>73</v>
      </c>
      <c r="U36" s="2">
        <v>400</v>
      </c>
      <c r="V36" s="2" t="s">
        <v>73</v>
      </c>
      <c r="W36" s="2">
        <v>12</v>
      </c>
      <c r="Y36" s="2" t="s">
        <v>89</v>
      </c>
      <c r="Z36" s="2">
        <v>7</v>
      </c>
      <c r="AB36" s="2" t="s">
        <v>116</v>
      </c>
      <c r="AC36" s="2">
        <v>750</v>
      </c>
      <c r="AE36" s="2" t="s">
        <v>94</v>
      </c>
      <c r="AF36" s="2" t="s">
        <v>73</v>
      </c>
      <c r="AG36" s="2" t="s">
        <v>177</v>
      </c>
    </row>
    <row r="37" spans="1:33" x14ac:dyDescent="0.2">
      <c r="A37" s="2">
        <v>36</v>
      </c>
      <c r="B37" s="2" t="s">
        <v>178</v>
      </c>
      <c r="C37" s="2" t="s">
        <v>120</v>
      </c>
      <c r="D37" s="2" t="s">
        <v>121</v>
      </c>
      <c r="E37" s="2" t="s">
        <v>122</v>
      </c>
      <c r="F37" s="2" t="s">
        <v>78</v>
      </c>
      <c r="G37" s="2">
        <v>4</v>
      </c>
      <c r="H37" s="2">
        <v>25</v>
      </c>
      <c r="I37" s="4">
        <v>71.34</v>
      </c>
      <c r="J37" s="4">
        <v>27.92</v>
      </c>
      <c r="K37" s="6">
        <v>3</v>
      </c>
      <c r="L37" s="4">
        <v>93.96</v>
      </c>
      <c r="M37" s="2">
        <v>4.87</v>
      </c>
      <c r="N37" s="2">
        <v>3</v>
      </c>
      <c r="O37" s="2" t="s">
        <v>75</v>
      </c>
      <c r="P37" s="2" t="s">
        <v>616</v>
      </c>
      <c r="R37" s="2" t="s">
        <v>73</v>
      </c>
      <c r="S37" s="2" t="s">
        <v>73</v>
      </c>
      <c r="T37" s="2" t="s">
        <v>73</v>
      </c>
      <c r="U37" s="2">
        <v>140</v>
      </c>
      <c r="V37" s="2" t="s">
        <v>73</v>
      </c>
      <c r="W37" s="2">
        <v>12</v>
      </c>
      <c r="X37" s="2">
        <v>34.78</v>
      </c>
      <c r="Y37" s="2" t="s">
        <v>98</v>
      </c>
      <c r="Z37" s="2">
        <v>7</v>
      </c>
      <c r="AB37" s="2" t="s">
        <v>116</v>
      </c>
      <c r="AC37" s="2">
        <v>390</v>
      </c>
      <c r="AE37" s="2" t="s">
        <v>104</v>
      </c>
      <c r="AF37" s="2" t="s">
        <v>73</v>
      </c>
      <c r="AG37" s="2" t="s">
        <v>182</v>
      </c>
    </row>
    <row r="38" spans="1:33" x14ac:dyDescent="0.2">
      <c r="A38" s="2">
        <v>37</v>
      </c>
      <c r="B38" s="2" t="s">
        <v>178</v>
      </c>
      <c r="C38" s="2" t="s">
        <v>120</v>
      </c>
      <c r="D38" s="2" t="s">
        <v>121</v>
      </c>
      <c r="E38" s="2" t="s">
        <v>122</v>
      </c>
      <c r="F38" s="2" t="s">
        <v>80</v>
      </c>
      <c r="G38" s="2">
        <v>4</v>
      </c>
      <c r="H38" s="2">
        <v>25</v>
      </c>
      <c r="I38" s="4">
        <v>8.67</v>
      </c>
      <c r="J38" s="4">
        <v>2.64</v>
      </c>
      <c r="K38" s="6">
        <v>3</v>
      </c>
      <c r="L38" s="4">
        <v>7.08</v>
      </c>
      <c r="M38" s="2">
        <v>1.39</v>
      </c>
      <c r="N38" s="2">
        <v>3</v>
      </c>
      <c r="O38" s="2" t="s">
        <v>75</v>
      </c>
      <c r="P38" s="2" t="s">
        <v>616</v>
      </c>
      <c r="R38" s="2" t="s">
        <v>73</v>
      </c>
      <c r="S38" s="2" t="s">
        <v>73</v>
      </c>
      <c r="T38" s="2" t="s">
        <v>73</v>
      </c>
      <c r="U38" s="2">
        <v>140</v>
      </c>
      <c r="V38" s="2" t="s">
        <v>73</v>
      </c>
      <c r="W38" s="2">
        <v>12</v>
      </c>
      <c r="X38" s="2">
        <v>34.78</v>
      </c>
      <c r="Y38" s="2" t="s">
        <v>98</v>
      </c>
      <c r="Z38" s="2">
        <v>7</v>
      </c>
      <c r="AB38" s="2" t="s">
        <v>116</v>
      </c>
      <c r="AC38" s="2">
        <v>390</v>
      </c>
      <c r="AE38" s="2" t="s">
        <v>104</v>
      </c>
      <c r="AF38" s="2" t="s">
        <v>73</v>
      </c>
      <c r="AG38" s="2" t="s">
        <v>182</v>
      </c>
    </row>
    <row r="39" spans="1:33" x14ac:dyDescent="0.2">
      <c r="A39" s="2">
        <v>38</v>
      </c>
      <c r="B39" s="2" t="s">
        <v>192</v>
      </c>
      <c r="C39" s="2" t="s">
        <v>196</v>
      </c>
      <c r="D39" s="2" t="s">
        <v>92</v>
      </c>
      <c r="E39" s="2" t="s">
        <v>93</v>
      </c>
      <c r="F39" s="2" t="s">
        <v>78</v>
      </c>
      <c r="G39" s="2">
        <v>20</v>
      </c>
      <c r="H39" s="2">
        <v>24</v>
      </c>
      <c r="I39" s="4">
        <v>113.259</v>
      </c>
      <c r="J39" s="4">
        <v>5.4950000000000045</v>
      </c>
      <c r="K39" s="2">
        <v>3</v>
      </c>
      <c r="L39" s="4">
        <v>95.335999999999999</v>
      </c>
      <c r="M39" s="4">
        <v>0.28600000000000136</v>
      </c>
      <c r="N39" s="2">
        <v>3</v>
      </c>
      <c r="O39" s="2" t="s">
        <v>75</v>
      </c>
      <c r="P39" s="2" t="s">
        <v>34</v>
      </c>
      <c r="R39" s="2" t="s">
        <v>73</v>
      </c>
      <c r="S39" s="2" t="s">
        <v>73</v>
      </c>
      <c r="T39" s="2" t="s">
        <v>73</v>
      </c>
      <c r="U39" s="2">
        <v>45</v>
      </c>
      <c r="V39" s="2" t="s">
        <v>73</v>
      </c>
      <c r="W39" s="2">
        <v>12</v>
      </c>
      <c r="Y39" s="2" t="s">
        <v>98</v>
      </c>
      <c r="AB39" s="2" t="s">
        <v>117</v>
      </c>
      <c r="AC39" s="2">
        <v>380</v>
      </c>
      <c r="AE39" s="2" t="s">
        <v>151</v>
      </c>
      <c r="AF39" s="2" t="s">
        <v>87</v>
      </c>
      <c r="AG39" s="2" t="s">
        <v>193</v>
      </c>
    </row>
    <row r="40" spans="1:33" x14ac:dyDescent="0.2">
      <c r="A40" s="2">
        <v>39</v>
      </c>
      <c r="B40" s="2" t="s">
        <v>192</v>
      </c>
      <c r="C40" s="2" t="s">
        <v>196</v>
      </c>
      <c r="D40" s="2" t="s">
        <v>92</v>
      </c>
      <c r="E40" s="2" t="s">
        <v>93</v>
      </c>
      <c r="F40" s="2" t="s">
        <v>80</v>
      </c>
      <c r="G40" s="2">
        <v>20</v>
      </c>
      <c r="H40" s="2">
        <v>24</v>
      </c>
      <c r="I40" s="4">
        <v>5.7210000000000001</v>
      </c>
      <c r="J40" s="4">
        <v>4.6000000000000263E-2</v>
      </c>
      <c r="K40" s="2">
        <v>3</v>
      </c>
      <c r="L40" s="4">
        <v>5.1879999999999997</v>
      </c>
      <c r="M40" s="4">
        <v>3.5000000000000142E-2</v>
      </c>
      <c r="N40" s="2">
        <v>3</v>
      </c>
      <c r="O40" s="2" t="s">
        <v>75</v>
      </c>
      <c r="P40" s="2" t="s">
        <v>34</v>
      </c>
      <c r="R40" s="2" t="s">
        <v>73</v>
      </c>
      <c r="S40" s="2" t="s">
        <v>73</v>
      </c>
      <c r="T40" s="2" t="s">
        <v>73</v>
      </c>
      <c r="U40" s="2">
        <v>45</v>
      </c>
      <c r="V40" s="2" t="s">
        <v>73</v>
      </c>
      <c r="W40" s="2">
        <v>12</v>
      </c>
      <c r="Y40" s="2" t="s">
        <v>98</v>
      </c>
      <c r="AB40" s="2" t="s">
        <v>117</v>
      </c>
      <c r="AC40" s="2">
        <v>380</v>
      </c>
      <c r="AE40" s="2" t="s">
        <v>151</v>
      </c>
      <c r="AF40" s="2" t="s">
        <v>87</v>
      </c>
      <c r="AG40" s="2" t="s">
        <v>193</v>
      </c>
    </row>
    <row r="41" spans="1:33" x14ac:dyDescent="0.2">
      <c r="A41" s="2">
        <v>40</v>
      </c>
      <c r="B41" s="2" t="s">
        <v>192</v>
      </c>
      <c r="C41" s="2" t="s">
        <v>196</v>
      </c>
      <c r="D41" s="2" t="s">
        <v>92</v>
      </c>
      <c r="E41" s="2" t="s">
        <v>93</v>
      </c>
      <c r="F41" s="2" t="s">
        <v>78</v>
      </c>
      <c r="G41" s="2">
        <v>20</v>
      </c>
      <c r="H41" s="2">
        <v>24</v>
      </c>
      <c r="I41" s="4">
        <v>128.815</v>
      </c>
      <c r="J41" s="4">
        <v>0.92500000000001137</v>
      </c>
      <c r="K41" s="2">
        <v>3</v>
      </c>
      <c r="L41" s="4">
        <v>115.01</v>
      </c>
      <c r="M41" s="4">
        <v>0.99199999999999022</v>
      </c>
      <c r="N41" s="2">
        <v>3</v>
      </c>
      <c r="O41" s="2" t="s">
        <v>75</v>
      </c>
      <c r="P41" s="2" t="s">
        <v>34</v>
      </c>
      <c r="R41" s="2" t="s">
        <v>73</v>
      </c>
      <c r="S41" s="2" t="s">
        <v>73</v>
      </c>
      <c r="T41" s="2" t="s">
        <v>73</v>
      </c>
      <c r="U41" s="2">
        <v>45</v>
      </c>
      <c r="V41" s="2" t="s">
        <v>73</v>
      </c>
      <c r="W41" s="2">
        <v>12</v>
      </c>
      <c r="Y41" s="2" t="s">
        <v>98</v>
      </c>
      <c r="AB41" s="2" t="s">
        <v>117</v>
      </c>
      <c r="AC41" s="2">
        <v>750</v>
      </c>
      <c r="AE41" s="2" t="s">
        <v>151</v>
      </c>
      <c r="AF41" s="2" t="s">
        <v>87</v>
      </c>
      <c r="AG41" s="2" t="s">
        <v>194</v>
      </c>
    </row>
    <row r="42" spans="1:33" x14ac:dyDescent="0.2">
      <c r="A42" s="2">
        <v>41</v>
      </c>
      <c r="B42" s="2" t="s">
        <v>192</v>
      </c>
      <c r="C42" s="2" t="s">
        <v>196</v>
      </c>
      <c r="D42" s="2" t="s">
        <v>92</v>
      </c>
      <c r="E42" s="2" t="s">
        <v>93</v>
      </c>
      <c r="F42" s="2" t="s">
        <v>80</v>
      </c>
      <c r="G42" s="2">
        <v>20</v>
      </c>
      <c r="H42" s="2">
        <v>24</v>
      </c>
      <c r="I42" s="4">
        <v>5.1959999999999997</v>
      </c>
      <c r="J42" s="4">
        <v>6.2000000000000277E-2</v>
      </c>
      <c r="K42" s="2">
        <v>3</v>
      </c>
      <c r="L42" s="4">
        <v>4.8449999999999998</v>
      </c>
      <c r="M42" s="4">
        <v>2.7000000000000135E-2</v>
      </c>
      <c r="N42" s="2">
        <v>3</v>
      </c>
      <c r="O42" s="2" t="s">
        <v>75</v>
      </c>
      <c r="P42" s="2" t="s">
        <v>34</v>
      </c>
      <c r="R42" s="2" t="s">
        <v>73</v>
      </c>
      <c r="S42" s="2" t="s">
        <v>73</v>
      </c>
      <c r="T42" s="2" t="s">
        <v>73</v>
      </c>
      <c r="U42" s="2">
        <v>45</v>
      </c>
      <c r="V42" s="2" t="s">
        <v>73</v>
      </c>
      <c r="W42" s="2">
        <v>12</v>
      </c>
      <c r="Y42" s="2" t="s">
        <v>98</v>
      </c>
      <c r="AB42" s="2" t="s">
        <v>117</v>
      </c>
      <c r="AC42" s="2">
        <v>750</v>
      </c>
      <c r="AE42" s="2" t="s">
        <v>151</v>
      </c>
      <c r="AF42" s="2" t="s">
        <v>87</v>
      </c>
      <c r="AG42" s="2" t="s">
        <v>194</v>
      </c>
    </row>
    <row r="43" spans="1:33" x14ac:dyDescent="0.2">
      <c r="A43" s="2">
        <v>42</v>
      </c>
      <c r="B43" s="2" t="s">
        <v>192</v>
      </c>
      <c r="C43" s="2" t="s">
        <v>195</v>
      </c>
      <c r="D43" s="2" t="s">
        <v>92</v>
      </c>
      <c r="E43" s="2" t="s">
        <v>93</v>
      </c>
      <c r="F43" s="2" t="s">
        <v>78</v>
      </c>
      <c r="G43" s="2">
        <v>20</v>
      </c>
      <c r="H43" s="2">
        <v>24</v>
      </c>
      <c r="I43" s="4">
        <v>107.36199999999999</v>
      </c>
      <c r="J43" s="4">
        <v>8.3419999999999987</v>
      </c>
      <c r="K43" s="2">
        <v>3</v>
      </c>
      <c r="L43" s="4">
        <v>109.39100000000001</v>
      </c>
      <c r="M43" s="4">
        <v>3.4229999999999876</v>
      </c>
      <c r="N43" s="2">
        <v>3</v>
      </c>
      <c r="O43" s="2" t="s">
        <v>75</v>
      </c>
      <c r="P43" s="2" t="s">
        <v>34</v>
      </c>
      <c r="R43" s="2" t="s">
        <v>73</v>
      </c>
      <c r="S43" s="2" t="s">
        <v>73</v>
      </c>
      <c r="T43" s="2" t="s">
        <v>73</v>
      </c>
      <c r="U43" s="2">
        <v>45</v>
      </c>
      <c r="V43" s="2" t="s">
        <v>73</v>
      </c>
      <c r="W43" s="2">
        <v>12</v>
      </c>
      <c r="Y43" s="2" t="s">
        <v>98</v>
      </c>
      <c r="AB43" s="2" t="s">
        <v>117</v>
      </c>
      <c r="AC43" s="2">
        <v>380</v>
      </c>
      <c r="AE43" s="2" t="s">
        <v>151</v>
      </c>
      <c r="AF43" s="2" t="s">
        <v>87</v>
      </c>
      <c r="AG43" s="2" t="s">
        <v>193</v>
      </c>
    </row>
    <row r="44" spans="1:33" x14ac:dyDescent="0.2">
      <c r="A44" s="2">
        <v>43</v>
      </c>
      <c r="B44" s="2" t="s">
        <v>192</v>
      </c>
      <c r="C44" s="2" t="s">
        <v>195</v>
      </c>
      <c r="D44" s="2" t="s">
        <v>92</v>
      </c>
      <c r="E44" s="2" t="s">
        <v>93</v>
      </c>
      <c r="F44" s="2" t="s">
        <v>80</v>
      </c>
      <c r="G44" s="2">
        <v>20</v>
      </c>
      <c r="H44" s="2">
        <v>24</v>
      </c>
      <c r="I44" s="4">
        <v>6.2480000000000002</v>
      </c>
      <c r="J44" s="4">
        <v>3.2000000000000028E-2</v>
      </c>
      <c r="K44" s="2">
        <v>3</v>
      </c>
      <c r="L44" s="4">
        <v>6.2389999999999999</v>
      </c>
      <c r="M44" s="4">
        <v>0.17799999999999994</v>
      </c>
      <c r="N44" s="2">
        <v>3</v>
      </c>
      <c r="O44" s="2" t="s">
        <v>75</v>
      </c>
      <c r="P44" s="2" t="s">
        <v>34</v>
      </c>
      <c r="R44" s="2" t="s">
        <v>73</v>
      </c>
      <c r="S44" s="2" t="s">
        <v>73</v>
      </c>
      <c r="T44" s="2" t="s">
        <v>73</v>
      </c>
      <c r="U44" s="2">
        <v>45</v>
      </c>
      <c r="V44" s="2" t="s">
        <v>73</v>
      </c>
      <c r="W44" s="2">
        <v>12</v>
      </c>
      <c r="Y44" s="2" t="s">
        <v>98</v>
      </c>
      <c r="AB44" s="2" t="s">
        <v>117</v>
      </c>
      <c r="AC44" s="2">
        <v>380</v>
      </c>
      <c r="AE44" s="2" t="s">
        <v>151</v>
      </c>
      <c r="AF44" s="2" t="s">
        <v>87</v>
      </c>
      <c r="AG44" s="2" t="s">
        <v>193</v>
      </c>
    </row>
    <row r="45" spans="1:33" x14ac:dyDescent="0.2">
      <c r="A45" s="2">
        <v>44</v>
      </c>
      <c r="B45" s="2" t="s">
        <v>200</v>
      </c>
      <c r="C45" s="2" t="s">
        <v>201</v>
      </c>
      <c r="D45" s="2" t="s">
        <v>202</v>
      </c>
      <c r="E45" s="2" t="s">
        <v>106</v>
      </c>
      <c r="F45" s="2" t="s">
        <v>78</v>
      </c>
      <c r="G45" s="2">
        <v>20</v>
      </c>
      <c r="H45" s="2">
        <v>24</v>
      </c>
      <c r="I45" s="4">
        <v>106.54900000000001</v>
      </c>
      <c r="J45" s="4">
        <v>7.7399999999999949</v>
      </c>
      <c r="K45" s="2">
        <v>3</v>
      </c>
      <c r="L45" s="4">
        <v>130.417</v>
      </c>
      <c r="M45" s="4">
        <v>1.9629999999999939</v>
      </c>
      <c r="N45" s="2">
        <v>3</v>
      </c>
      <c r="O45" s="2" t="s">
        <v>75</v>
      </c>
      <c r="P45" s="2" t="s">
        <v>616</v>
      </c>
      <c r="R45" s="2" t="s">
        <v>73</v>
      </c>
      <c r="S45" s="2" t="s">
        <v>73</v>
      </c>
      <c r="T45" s="2" t="s">
        <v>73</v>
      </c>
      <c r="U45" s="2">
        <v>100</v>
      </c>
      <c r="V45" s="2" t="s">
        <v>73</v>
      </c>
      <c r="W45" s="2">
        <v>12</v>
      </c>
      <c r="X45" s="2">
        <v>23</v>
      </c>
      <c r="Y45" s="2" t="s">
        <v>89</v>
      </c>
      <c r="Z45" s="2">
        <v>10</v>
      </c>
      <c r="AB45" s="2" t="s">
        <v>116</v>
      </c>
      <c r="AC45" s="2">
        <v>375</v>
      </c>
      <c r="AE45" s="2" t="s">
        <v>151</v>
      </c>
      <c r="AF45" s="2" t="s">
        <v>87</v>
      </c>
      <c r="AG45" s="2" t="s">
        <v>193</v>
      </c>
    </row>
    <row r="46" spans="1:33" x14ac:dyDescent="0.2">
      <c r="A46" s="2">
        <v>45</v>
      </c>
      <c r="B46" s="2" t="s">
        <v>200</v>
      </c>
      <c r="C46" s="2" t="s">
        <v>201</v>
      </c>
      <c r="D46" s="2" t="s">
        <v>202</v>
      </c>
      <c r="E46" s="2" t="s">
        <v>106</v>
      </c>
      <c r="F46" s="2" t="s">
        <v>80</v>
      </c>
      <c r="G46" s="2">
        <v>20</v>
      </c>
      <c r="H46" s="2">
        <v>24</v>
      </c>
      <c r="I46" s="4">
        <v>6.9960000000000004</v>
      </c>
      <c r="J46" s="4">
        <v>7.6999999999999957E-2</v>
      </c>
      <c r="K46" s="2">
        <v>3</v>
      </c>
      <c r="L46" s="4">
        <v>7.9429999999999996</v>
      </c>
      <c r="M46" s="4">
        <v>0.14100000000000001</v>
      </c>
      <c r="N46" s="2">
        <v>3</v>
      </c>
      <c r="O46" s="2" t="s">
        <v>75</v>
      </c>
      <c r="P46" s="2" t="s">
        <v>616</v>
      </c>
      <c r="R46" s="2" t="s">
        <v>73</v>
      </c>
      <c r="S46" s="2" t="s">
        <v>73</v>
      </c>
      <c r="T46" s="2" t="s">
        <v>73</v>
      </c>
      <c r="U46" s="2">
        <v>100</v>
      </c>
      <c r="V46" s="2" t="s">
        <v>73</v>
      </c>
      <c r="W46" s="2">
        <v>12</v>
      </c>
      <c r="X46" s="2">
        <v>23</v>
      </c>
      <c r="Y46" s="2" t="s">
        <v>89</v>
      </c>
      <c r="Z46" s="2">
        <v>10</v>
      </c>
      <c r="AB46" s="2" t="s">
        <v>116</v>
      </c>
      <c r="AC46" s="2">
        <v>375</v>
      </c>
      <c r="AE46" s="2" t="s">
        <v>151</v>
      </c>
      <c r="AF46" s="2" t="s">
        <v>87</v>
      </c>
      <c r="AG46" s="2" t="s">
        <v>193</v>
      </c>
    </row>
    <row r="47" spans="1:33" x14ac:dyDescent="0.2">
      <c r="A47" s="2">
        <v>46</v>
      </c>
      <c r="B47" s="2" t="s">
        <v>200</v>
      </c>
      <c r="C47" s="2" t="s">
        <v>201</v>
      </c>
      <c r="D47" s="2" t="s">
        <v>202</v>
      </c>
      <c r="E47" s="2" t="s">
        <v>106</v>
      </c>
      <c r="F47" s="2" t="s">
        <v>78</v>
      </c>
      <c r="G47" s="2">
        <v>20</v>
      </c>
      <c r="H47" s="2">
        <v>24</v>
      </c>
      <c r="I47" s="4">
        <v>117.078</v>
      </c>
      <c r="J47" s="4">
        <v>7.1640000000000015</v>
      </c>
      <c r="K47" s="2">
        <v>3</v>
      </c>
      <c r="L47" s="4">
        <v>168.173</v>
      </c>
      <c r="M47" s="4">
        <v>0.78600000000000136</v>
      </c>
      <c r="N47" s="2">
        <v>3</v>
      </c>
      <c r="O47" s="2" t="s">
        <v>75</v>
      </c>
      <c r="P47" s="2" t="s">
        <v>616</v>
      </c>
      <c r="R47" s="2" t="s">
        <v>73</v>
      </c>
      <c r="S47" s="2" t="s">
        <v>73</v>
      </c>
      <c r="T47" s="2" t="s">
        <v>73</v>
      </c>
      <c r="U47" s="2">
        <v>100</v>
      </c>
      <c r="V47" s="2" t="s">
        <v>73</v>
      </c>
      <c r="W47" s="2">
        <v>12</v>
      </c>
      <c r="X47" s="2">
        <v>23</v>
      </c>
      <c r="Y47" s="2" t="s">
        <v>89</v>
      </c>
      <c r="Z47" s="2">
        <v>10</v>
      </c>
      <c r="AB47" s="2" t="s">
        <v>116</v>
      </c>
      <c r="AC47" s="2">
        <v>750</v>
      </c>
      <c r="AE47" s="2" t="s">
        <v>151</v>
      </c>
      <c r="AF47" s="2" t="s">
        <v>87</v>
      </c>
      <c r="AG47" s="2" t="s">
        <v>203</v>
      </c>
    </row>
    <row r="48" spans="1:33" x14ac:dyDescent="0.2">
      <c r="A48" s="2">
        <v>47</v>
      </c>
      <c r="B48" s="2" t="s">
        <v>200</v>
      </c>
      <c r="C48" s="2" t="s">
        <v>201</v>
      </c>
      <c r="D48" s="2" t="s">
        <v>202</v>
      </c>
      <c r="E48" s="2" t="s">
        <v>106</v>
      </c>
      <c r="F48" s="2" t="s">
        <v>80</v>
      </c>
      <c r="G48" s="2">
        <v>20</v>
      </c>
      <c r="H48" s="2">
        <v>24</v>
      </c>
      <c r="I48" s="4">
        <v>7.7850000000000001</v>
      </c>
      <c r="J48" s="4">
        <v>5.4999999999999716E-2</v>
      </c>
      <c r="K48" s="2">
        <v>3</v>
      </c>
      <c r="L48" s="4">
        <v>7.9009999999999998</v>
      </c>
      <c r="M48" s="4">
        <v>6.5999999999999837E-2</v>
      </c>
      <c r="N48" s="2">
        <v>3</v>
      </c>
      <c r="O48" s="2" t="s">
        <v>75</v>
      </c>
      <c r="P48" s="2" t="s">
        <v>616</v>
      </c>
      <c r="R48" s="2" t="s">
        <v>73</v>
      </c>
      <c r="S48" s="2" t="s">
        <v>73</v>
      </c>
      <c r="T48" s="2" t="s">
        <v>73</v>
      </c>
      <c r="U48" s="2">
        <v>100</v>
      </c>
      <c r="V48" s="2" t="s">
        <v>73</v>
      </c>
      <c r="W48" s="2">
        <v>12</v>
      </c>
      <c r="X48" s="2">
        <v>23</v>
      </c>
      <c r="Y48" s="2" t="s">
        <v>89</v>
      </c>
      <c r="Z48" s="2">
        <v>10</v>
      </c>
      <c r="AB48" s="2" t="s">
        <v>116</v>
      </c>
      <c r="AC48" s="2">
        <v>750</v>
      </c>
      <c r="AE48" s="2" t="s">
        <v>151</v>
      </c>
      <c r="AF48" s="2" t="s">
        <v>87</v>
      </c>
      <c r="AG48" s="2" t="s">
        <v>203</v>
      </c>
    </row>
    <row r="49" spans="1:33" x14ac:dyDescent="0.2">
      <c r="A49" s="2">
        <v>48</v>
      </c>
      <c r="B49" s="2" t="s">
        <v>200</v>
      </c>
      <c r="C49" s="2" t="s">
        <v>204</v>
      </c>
      <c r="D49" s="2" t="s">
        <v>70</v>
      </c>
      <c r="E49" s="2" t="s">
        <v>71</v>
      </c>
      <c r="F49" s="2" t="s">
        <v>78</v>
      </c>
      <c r="G49" s="2">
        <v>20</v>
      </c>
      <c r="H49" s="2">
        <v>24</v>
      </c>
      <c r="I49" s="4">
        <v>135.041</v>
      </c>
      <c r="J49" s="4">
        <v>12.436000000000007</v>
      </c>
      <c r="K49" s="2">
        <v>3</v>
      </c>
      <c r="L49" s="4">
        <v>88.632000000000005</v>
      </c>
      <c r="M49" s="4">
        <v>5.7909999999999968</v>
      </c>
      <c r="N49" s="2">
        <v>3</v>
      </c>
      <c r="O49" s="2" t="s">
        <v>75</v>
      </c>
      <c r="P49" s="2" t="s">
        <v>616</v>
      </c>
      <c r="R49" s="2" t="s">
        <v>73</v>
      </c>
      <c r="S49" s="2" t="s">
        <v>73</v>
      </c>
      <c r="T49" s="2" t="s">
        <v>73</v>
      </c>
      <c r="U49" s="2">
        <v>100</v>
      </c>
      <c r="V49" s="2" t="s">
        <v>73</v>
      </c>
      <c r="W49" s="2">
        <v>12</v>
      </c>
      <c r="X49" s="2">
        <v>23</v>
      </c>
      <c r="Y49" s="2" t="s">
        <v>89</v>
      </c>
      <c r="Z49" s="2">
        <v>10</v>
      </c>
      <c r="AB49" s="2" t="s">
        <v>116</v>
      </c>
      <c r="AC49" s="2">
        <v>375</v>
      </c>
      <c r="AE49" s="2" t="s">
        <v>151</v>
      </c>
      <c r="AF49" s="2" t="s">
        <v>87</v>
      </c>
      <c r="AG49" s="2" t="s">
        <v>193</v>
      </c>
    </row>
    <row r="50" spans="1:33" x14ac:dyDescent="0.2">
      <c r="A50" s="2">
        <v>49</v>
      </c>
      <c r="B50" s="2" t="s">
        <v>200</v>
      </c>
      <c r="C50" s="2" t="s">
        <v>204</v>
      </c>
      <c r="D50" s="2" t="s">
        <v>70</v>
      </c>
      <c r="E50" s="2" t="s">
        <v>71</v>
      </c>
      <c r="F50" s="2" t="s">
        <v>80</v>
      </c>
      <c r="G50" s="2">
        <v>20</v>
      </c>
      <c r="H50" s="2">
        <v>24</v>
      </c>
      <c r="I50" s="4">
        <v>7.48</v>
      </c>
      <c r="J50" s="4">
        <v>0.48299999999999965</v>
      </c>
      <c r="K50" s="2">
        <v>3</v>
      </c>
      <c r="L50" s="4">
        <v>6.6379999999999999</v>
      </c>
      <c r="M50" s="4">
        <v>0.26700000000000035</v>
      </c>
      <c r="N50" s="2">
        <v>3</v>
      </c>
      <c r="O50" s="2" t="s">
        <v>75</v>
      </c>
      <c r="P50" s="2" t="s">
        <v>616</v>
      </c>
      <c r="R50" s="2" t="s">
        <v>73</v>
      </c>
      <c r="S50" s="2" t="s">
        <v>73</v>
      </c>
      <c r="T50" s="2" t="s">
        <v>73</v>
      </c>
      <c r="U50" s="2">
        <v>100</v>
      </c>
      <c r="V50" s="2" t="s">
        <v>73</v>
      </c>
      <c r="W50" s="2">
        <v>12</v>
      </c>
      <c r="X50" s="2">
        <v>23</v>
      </c>
      <c r="Y50" s="2" t="s">
        <v>89</v>
      </c>
      <c r="Z50" s="2">
        <v>10</v>
      </c>
      <c r="AB50" s="2" t="s">
        <v>116</v>
      </c>
      <c r="AC50" s="2">
        <v>375</v>
      </c>
      <c r="AE50" s="2" t="s">
        <v>151</v>
      </c>
      <c r="AF50" s="2" t="s">
        <v>87</v>
      </c>
      <c r="AG50" s="2" t="s">
        <v>193</v>
      </c>
    </row>
    <row r="51" spans="1:33" x14ac:dyDescent="0.2">
      <c r="A51" s="2">
        <v>50</v>
      </c>
      <c r="B51" s="2" t="s">
        <v>210</v>
      </c>
      <c r="C51" s="2" t="s">
        <v>211</v>
      </c>
      <c r="D51" s="2" t="s">
        <v>92</v>
      </c>
      <c r="E51" s="2" t="s">
        <v>150</v>
      </c>
      <c r="F51" s="2" t="s">
        <v>78</v>
      </c>
      <c r="G51" s="2">
        <v>18</v>
      </c>
      <c r="H51" s="2">
        <v>28</v>
      </c>
      <c r="I51" s="4">
        <v>69.334354000000005</v>
      </c>
      <c r="J51" s="4">
        <f>I51*SQRT(K51)</f>
        <v>138.66870800000001</v>
      </c>
      <c r="K51" s="2">
        <v>4</v>
      </c>
      <c r="L51" s="4">
        <v>130.2912</v>
      </c>
      <c r="M51" s="4">
        <f>L51*SQRT(N51)</f>
        <v>260.58240000000001</v>
      </c>
      <c r="N51" s="2">
        <v>4</v>
      </c>
      <c r="O51" s="2" t="s">
        <v>75</v>
      </c>
      <c r="P51" s="2" t="s">
        <v>616</v>
      </c>
      <c r="R51" s="2" t="s">
        <v>73</v>
      </c>
      <c r="S51" s="2" t="s">
        <v>73</v>
      </c>
      <c r="T51" s="2" t="s">
        <v>73</v>
      </c>
      <c r="U51" s="2">
        <v>120</v>
      </c>
      <c r="V51" s="2" t="s">
        <v>73</v>
      </c>
      <c r="W51" s="2">
        <v>12</v>
      </c>
      <c r="Y51" s="2" t="s">
        <v>89</v>
      </c>
      <c r="AB51" s="2" t="s">
        <v>152</v>
      </c>
      <c r="AE51" s="2" t="s">
        <v>133</v>
      </c>
      <c r="AF51" s="2" t="s">
        <v>87</v>
      </c>
      <c r="AG51" s="2" t="s">
        <v>612</v>
      </c>
    </row>
    <row r="52" spans="1:33" x14ac:dyDescent="0.2">
      <c r="A52" s="2">
        <v>51</v>
      </c>
      <c r="B52" s="2" t="s">
        <v>210</v>
      </c>
      <c r="C52" s="2" t="s">
        <v>211</v>
      </c>
      <c r="D52" s="2" t="s">
        <v>92</v>
      </c>
      <c r="E52" s="2" t="s">
        <v>150</v>
      </c>
      <c r="F52" s="2" t="s">
        <v>80</v>
      </c>
      <c r="G52" s="2">
        <v>18</v>
      </c>
      <c r="H52" s="2">
        <v>28</v>
      </c>
      <c r="I52" s="4">
        <v>6.0380000000000003</v>
      </c>
      <c r="J52" s="4">
        <f t="shared" ref="J52:J63" si="0">I52*SQRT(K52)</f>
        <v>12.076000000000001</v>
      </c>
      <c r="K52" s="2">
        <v>4</v>
      </c>
      <c r="L52" s="4">
        <v>6.6559999999999997</v>
      </c>
      <c r="M52" s="4">
        <f t="shared" ref="M52:M63" si="1">L52*SQRT(N52)</f>
        <v>13.311999999999999</v>
      </c>
      <c r="N52" s="2">
        <v>4</v>
      </c>
      <c r="O52" s="2" t="s">
        <v>75</v>
      </c>
      <c r="P52" s="2" t="s">
        <v>616</v>
      </c>
      <c r="R52" s="2" t="s">
        <v>73</v>
      </c>
      <c r="S52" s="2" t="s">
        <v>73</v>
      </c>
      <c r="T52" s="2" t="s">
        <v>73</v>
      </c>
      <c r="U52" s="2">
        <v>120</v>
      </c>
      <c r="V52" s="2" t="s">
        <v>73</v>
      </c>
      <c r="W52" s="2">
        <v>12</v>
      </c>
      <c r="Y52" s="2" t="s">
        <v>89</v>
      </c>
      <c r="AB52" s="2" t="s">
        <v>152</v>
      </c>
      <c r="AE52" s="2" t="s">
        <v>133</v>
      </c>
      <c r="AF52" s="2" t="s">
        <v>87</v>
      </c>
      <c r="AG52" s="2" t="s">
        <v>612</v>
      </c>
    </row>
    <row r="53" spans="1:33" x14ac:dyDescent="0.2">
      <c r="A53" s="2">
        <v>52</v>
      </c>
      <c r="B53" s="2" t="s">
        <v>210</v>
      </c>
      <c r="C53" s="2" t="s">
        <v>212</v>
      </c>
      <c r="D53" s="2" t="s">
        <v>92</v>
      </c>
      <c r="E53" s="2" t="s">
        <v>150</v>
      </c>
      <c r="F53" s="2" t="s">
        <v>78</v>
      </c>
      <c r="G53" s="2">
        <v>18</v>
      </c>
      <c r="H53" s="2">
        <v>26</v>
      </c>
      <c r="I53" s="4">
        <v>50.142660000000006</v>
      </c>
      <c r="J53" s="4">
        <f t="shared" si="0"/>
        <v>100.28532000000001</v>
      </c>
      <c r="K53" s="2">
        <v>4</v>
      </c>
      <c r="L53" s="4">
        <v>123.10359599999998</v>
      </c>
      <c r="M53" s="4">
        <f t="shared" si="1"/>
        <v>246.20719199999996</v>
      </c>
      <c r="N53" s="2">
        <v>4</v>
      </c>
      <c r="O53" s="2" t="s">
        <v>75</v>
      </c>
      <c r="P53" s="2" t="s">
        <v>616</v>
      </c>
      <c r="R53" s="2" t="s">
        <v>73</v>
      </c>
      <c r="S53" s="2" t="s">
        <v>73</v>
      </c>
      <c r="T53" s="2" t="s">
        <v>73</v>
      </c>
      <c r="U53" s="2">
        <v>120</v>
      </c>
      <c r="V53" s="2" t="s">
        <v>73</v>
      </c>
      <c r="W53" s="2">
        <v>12</v>
      </c>
      <c r="Y53" s="2" t="s">
        <v>89</v>
      </c>
      <c r="AB53" s="2" t="s">
        <v>152</v>
      </c>
      <c r="AE53" s="2" t="s">
        <v>133</v>
      </c>
      <c r="AF53" s="2" t="s">
        <v>87</v>
      </c>
      <c r="AG53" s="2" t="s">
        <v>613</v>
      </c>
    </row>
    <row r="54" spans="1:33" x14ac:dyDescent="0.2">
      <c r="A54" s="2">
        <v>53</v>
      </c>
      <c r="B54" s="2" t="s">
        <v>210</v>
      </c>
      <c r="C54" s="2" t="s">
        <v>212</v>
      </c>
      <c r="D54" s="2" t="s">
        <v>92</v>
      </c>
      <c r="E54" s="2" t="s">
        <v>150</v>
      </c>
      <c r="F54" s="2" t="s">
        <v>80</v>
      </c>
      <c r="G54" s="2">
        <v>18</v>
      </c>
      <c r="H54" s="2">
        <v>26</v>
      </c>
      <c r="I54" s="4">
        <v>5.3230000000000004</v>
      </c>
      <c r="J54" s="4">
        <f t="shared" si="0"/>
        <v>10.646000000000001</v>
      </c>
      <c r="K54" s="2">
        <v>4</v>
      </c>
      <c r="L54" s="4">
        <v>6.3579999999999997</v>
      </c>
      <c r="M54" s="4">
        <f t="shared" si="1"/>
        <v>12.715999999999999</v>
      </c>
      <c r="N54" s="2">
        <v>4</v>
      </c>
      <c r="O54" s="2" t="s">
        <v>75</v>
      </c>
      <c r="P54" s="2" t="s">
        <v>616</v>
      </c>
      <c r="R54" s="2" t="s">
        <v>73</v>
      </c>
      <c r="S54" s="2" t="s">
        <v>73</v>
      </c>
      <c r="T54" s="2" t="s">
        <v>73</v>
      </c>
      <c r="U54" s="2">
        <v>120</v>
      </c>
      <c r="V54" s="2" t="s">
        <v>73</v>
      </c>
      <c r="W54" s="2">
        <v>12</v>
      </c>
      <c r="Y54" s="2" t="s">
        <v>89</v>
      </c>
      <c r="AB54" s="2" t="s">
        <v>152</v>
      </c>
      <c r="AE54" s="2" t="s">
        <v>133</v>
      </c>
      <c r="AF54" s="2" t="s">
        <v>87</v>
      </c>
      <c r="AG54" s="2" t="s">
        <v>613</v>
      </c>
    </row>
    <row r="55" spans="1:33" x14ac:dyDescent="0.2">
      <c r="A55" s="2">
        <v>54</v>
      </c>
      <c r="B55" s="2" t="s">
        <v>210</v>
      </c>
      <c r="C55" s="2" t="s">
        <v>213</v>
      </c>
      <c r="D55" s="2" t="s">
        <v>92</v>
      </c>
      <c r="E55" s="2" t="s">
        <v>150</v>
      </c>
      <c r="F55" s="2" t="s">
        <v>78</v>
      </c>
      <c r="G55" s="2">
        <v>18</v>
      </c>
      <c r="H55" s="2">
        <v>24</v>
      </c>
      <c r="I55" s="4">
        <v>50.507687999999995</v>
      </c>
      <c r="J55" s="4">
        <f t="shared" si="0"/>
        <v>101.01537599999999</v>
      </c>
      <c r="K55" s="2">
        <v>4</v>
      </c>
      <c r="L55" s="4">
        <v>126.930818</v>
      </c>
      <c r="M55" s="4">
        <f t="shared" si="1"/>
        <v>253.861636</v>
      </c>
      <c r="N55" s="2">
        <v>4</v>
      </c>
      <c r="O55" s="2" t="s">
        <v>75</v>
      </c>
      <c r="P55" s="2" t="s">
        <v>616</v>
      </c>
      <c r="R55" s="2" t="s">
        <v>73</v>
      </c>
      <c r="S55" s="2" t="s">
        <v>73</v>
      </c>
      <c r="T55" s="2" t="s">
        <v>73</v>
      </c>
      <c r="U55" s="2">
        <v>120</v>
      </c>
      <c r="V55" s="2" t="s">
        <v>73</v>
      </c>
      <c r="W55" s="2">
        <v>12</v>
      </c>
      <c r="Y55" s="2" t="s">
        <v>89</v>
      </c>
      <c r="AB55" s="2" t="s">
        <v>152</v>
      </c>
      <c r="AE55" s="2" t="s">
        <v>133</v>
      </c>
      <c r="AF55" s="2" t="s">
        <v>87</v>
      </c>
      <c r="AG55" s="2" t="s">
        <v>614</v>
      </c>
    </row>
    <row r="56" spans="1:33" x14ac:dyDescent="0.2">
      <c r="A56" s="2">
        <v>55</v>
      </c>
      <c r="B56" s="2" t="s">
        <v>210</v>
      </c>
      <c r="C56" s="2" t="s">
        <v>213</v>
      </c>
      <c r="D56" s="2" t="s">
        <v>92</v>
      </c>
      <c r="E56" s="2" t="s">
        <v>150</v>
      </c>
      <c r="F56" s="2" t="s">
        <v>80</v>
      </c>
      <c r="G56" s="2">
        <v>18</v>
      </c>
      <c r="H56" s="2">
        <v>24</v>
      </c>
      <c r="I56" s="4">
        <v>4.9829999999999997</v>
      </c>
      <c r="J56" s="4">
        <f t="shared" si="0"/>
        <v>9.9659999999999993</v>
      </c>
      <c r="K56" s="2">
        <v>4</v>
      </c>
      <c r="L56" s="4">
        <v>6.4539999999999997</v>
      </c>
      <c r="M56" s="4">
        <f t="shared" si="1"/>
        <v>12.907999999999999</v>
      </c>
      <c r="N56" s="2">
        <v>4</v>
      </c>
      <c r="O56" s="2" t="s">
        <v>75</v>
      </c>
      <c r="P56" s="2" t="s">
        <v>616</v>
      </c>
      <c r="R56" s="2" t="s">
        <v>73</v>
      </c>
      <c r="S56" s="2" t="s">
        <v>73</v>
      </c>
      <c r="T56" s="2" t="s">
        <v>73</v>
      </c>
      <c r="U56" s="2">
        <v>120</v>
      </c>
      <c r="V56" s="2" t="s">
        <v>73</v>
      </c>
      <c r="W56" s="2">
        <v>12</v>
      </c>
      <c r="Y56" s="2" t="s">
        <v>89</v>
      </c>
      <c r="AB56" s="2" t="s">
        <v>152</v>
      </c>
      <c r="AE56" s="2" t="s">
        <v>133</v>
      </c>
      <c r="AF56" s="2" t="s">
        <v>87</v>
      </c>
      <c r="AG56" s="2" t="s">
        <v>614</v>
      </c>
    </row>
    <row r="57" spans="1:33" x14ac:dyDescent="0.2">
      <c r="A57" s="2">
        <v>56</v>
      </c>
      <c r="B57" s="2" t="s">
        <v>210</v>
      </c>
      <c r="C57" s="2" t="s">
        <v>214</v>
      </c>
      <c r="D57" s="2" t="s">
        <v>92</v>
      </c>
      <c r="E57" s="2" t="s">
        <v>150</v>
      </c>
      <c r="F57" s="2" t="s">
        <v>80</v>
      </c>
      <c r="G57" s="2">
        <v>24</v>
      </c>
      <c r="H57" s="2">
        <v>28</v>
      </c>
      <c r="I57" s="4">
        <v>7.484</v>
      </c>
      <c r="J57" s="4">
        <f t="shared" si="0"/>
        <v>14.968</v>
      </c>
      <c r="K57" s="2">
        <v>4</v>
      </c>
      <c r="L57" s="4">
        <v>8.2240000000000002</v>
      </c>
      <c r="M57" s="4">
        <f t="shared" si="1"/>
        <v>16.448</v>
      </c>
      <c r="N57" s="2">
        <v>4</v>
      </c>
      <c r="O57" s="2" t="s">
        <v>75</v>
      </c>
      <c r="P57" s="2" t="s">
        <v>616</v>
      </c>
      <c r="R57" s="2" t="s">
        <v>73</v>
      </c>
      <c r="S57" s="2" t="s">
        <v>73</v>
      </c>
      <c r="T57" s="2" t="s">
        <v>73</v>
      </c>
      <c r="U57" s="2">
        <v>120</v>
      </c>
      <c r="V57" s="2" t="s">
        <v>73</v>
      </c>
      <c r="W57" s="2">
        <v>12</v>
      </c>
      <c r="Y57" s="2" t="s">
        <v>89</v>
      </c>
      <c r="AB57" s="2" t="s">
        <v>152</v>
      </c>
      <c r="AE57" s="2" t="s">
        <v>133</v>
      </c>
      <c r="AF57" s="2" t="s">
        <v>87</v>
      </c>
      <c r="AG57" s="2" t="s">
        <v>612</v>
      </c>
    </row>
    <row r="58" spans="1:33" x14ac:dyDescent="0.2">
      <c r="A58" s="2">
        <v>57</v>
      </c>
      <c r="B58" s="2" t="s">
        <v>210</v>
      </c>
      <c r="C58" s="2" t="s">
        <v>215</v>
      </c>
      <c r="D58" s="2" t="s">
        <v>92</v>
      </c>
      <c r="E58" s="2" t="s">
        <v>150</v>
      </c>
      <c r="F58" s="2" t="s">
        <v>78</v>
      </c>
      <c r="G58" s="2">
        <v>24</v>
      </c>
      <c r="H58" s="2">
        <v>28</v>
      </c>
      <c r="I58" s="4">
        <v>128.22050999999999</v>
      </c>
      <c r="J58" s="4">
        <f t="shared" si="0"/>
        <v>256.44101999999998</v>
      </c>
      <c r="K58" s="2">
        <v>4</v>
      </c>
      <c r="L58" s="4">
        <v>215.79646399999999</v>
      </c>
      <c r="M58" s="4">
        <f t="shared" si="1"/>
        <v>431.59292799999997</v>
      </c>
      <c r="N58" s="2">
        <v>4</v>
      </c>
      <c r="O58" s="2" t="s">
        <v>75</v>
      </c>
      <c r="P58" s="2" t="s">
        <v>616</v>
      </c>
      <c r="R58" s="2" t="s">
        <v>73</v>
      </c>
      <c r="S58" s="2" t="s">
        <v>73</v>
      </c>
      <c r="T58" s="2" t="s">
        <v>73</v>
      </c>
      <c r="U58" s="2">
        <v>120</v>
      </c>
      <c r="V58" s="2" t="s">
        <v>73</v>
      </c>
      <c r="W58" s="2">
        <v>12</v>
      </c>
      <c r="Y58" s="2" t="s">
        <v>89</v>
      </c>
      <c r="AB58" s="2" t="s">
        <v>152</v>
      </c>
      <c r="AE58" s="2" t="s">
        <v>133</v>
      </c>
      <c r="AF58" s="2" t="s">
        <v>87</v>
      </c>
      <c r="AG58" s="2" t="s">
        <v>612</v>
      </c>
    </row>
    <row r="59" spans="1:33" x14ac:dyDescent="0.2">
      <c r="A59" s="2">
        <v>58</v>
      </c>
      <c r="B59" s="2" t="s">
        <v>210</v>
      </c>
      <c r="C59" s="2" t="s">
        <v>215</v>
      </c>
      <c r="D59" s="2" t="s">
        <v>92</v>
      </c>
      <c r="E59" s="2" t="s">
        <v>150</v>
      </c>
      <c r="F59" s="2" t="s">
        <v>80</v>
      </c>
      <c r="G59" s="2">
        <v>24</v>
      </c>
      <c r="H59" s="2">
        <v>28</v>
      </c>
      <c r="I59" s="4">
        <v>7.694</v>
      </c>
      <c r="J59" s="4">
        <f t="shared" si="0"/>
        <v>15.388</v>
      </c>
      <c r="K59" s="2">
        <v>4</v>
      </c>
      <c r="L59" s="4">
        <v>8.452</v>
      </c>
      <c r="M59" s="4">
        <f t="shared" si="1"/>
        <v>16.904</v>
      </c>
      <c r="N59" s="2">
        <v>4</v>
      </c>
      <c r="O59" s="2" t="s">
        <v>75</v>
      </c>
      <c r="P59" s="2" t="s">
        <v>616</v>
      </c>
      <c r="R59" s="2" t="s">
        <v>73</v>
      </c>
      <c r="S59" s="2" t="s">
        <v>73</v>
      </c>
      <c r="T59" s="2" t="s">
        <v>73</v>
      </c>
      <c r="U59" s="2">
        <v>120</v>
      </c>
      <c r="V59" s="2" t="s">
        <v>73</v>
      </c>
      <c r="W59" s="2">
        <v>12</v>
      </c>
      <c r="Y59" s="2" t="s">
        <v>89</v>
      </c>
      <c r="AB59" s="2" t="s">
        <v>152</v>
      </c>
      <c r="AE59" s="2" t="s">
        <v>133</v>
      </c>
      <c r="AF59" s="2" t="s">
        <v>87</v>
      </c>
      <c r="AG59" s="2" t="s">
        <v>612</v>
      </c>
    </row>
    <row r="60" spans="1:33" x14ac:dyDescent="0.2">
      <c r="A60" s="2">
        <v>59</v>
      </c>
      <c r="B60" s="2" t="s">
        <v>210</v>
      </c>
      <c r="C60" s="2" t="s">
        <v>216</v>
      </c>
      <c r="D60" s="2" t="s">
        <v>92</v>
      </c>
      <c r="E60" s="2" t="s">
        <v>150</v>
      </c>
      <c r="F60" s="2" t="s">
        <v>78</v>
      </c>
      <c r="G60" s="2">
        <v>24</v>
      </c>
      <c r="H60" s="2">
        <v>30</v>
      </c>
      <c r="I60" s="4">
        <v>100.470876</v>
      </c>
      <c r="J60" s="4">
        <f t="shared" si="0"/>
        <v>200.94175200000001</v>
      </c>
      <c r="K60" s="2">
        <v>4</v>
      </c>
      <c r="L60" s="4">
        <v>242.929295</v>
      </c>
      <c r="M60" s="4">
        <f t="shared" si="1"/>
        <v>485.85858999999999</v>
      </c>
      <c r="N60" s="2">
        <v>4</v>
      </c>
      <c r="O60" s="2" t="s">
        <v>75</v>
      </c>
      <c r="P60" s="2" t="s">
        <v>616</v>
      </c>
      <c r="R60" s="2" t="s">
        <v>73</v>
      </c>
      <c r="S60" s="2" t="s">
        <v>73</v>
      </c>
      <c r="T60" s="2" t="s">
        <v>73</v>
      </c>
      <c r="U60" s="2">
        <v>120</v>
      </c>
      <c r="V60" s="2" t="s">
        <v>73</v>
      </c>
      <c r="W60" s="2">
        <v>12</v>
      </c>
      <c r="Y60" s="2" t="s">
        <v>89</v>
      </c>
      <c r="AB60" s="2" t="s">
        <v>152</v>
      </c>
      <c r="AE60" s="2" t="s">
        <v>133</v>
      </c>
      <c r="AF60" s="2" t="s">
        <v>87</v>
      </c>
      <c r="AG60" s="2" t="s">
        <v>615</v>
      </c>
    </row>
    <row r="61" spans="1:33" x14ac:dyDescent="0.2">
      <c r="A61" s="2">
        <v>60</v>
      </c>
      <c r="B61" s="2" t="s">
        <v>210</v>
      </c>
      <c r="C61" s="2" t="s">
        <v>216</v>
      </c>
      <c r="D61" s="2" t="s">
        <v>92</v>
      </c>
      <c r="E61" s="2" t="s">
        <v>150</v>
      </c>
      <c r="F61" s="2" t="s">
        <v>80</v>
      </c>
      <c r="G61" s="2">
        <v>24</v>
      </c>
      <c r="H61" s="2">
        <v>30</v>
      </c>
      <c r="I61" s="4">
        <v>6.8520000000000003</v>
      </c>
      <c r="J61" s="4">
        <f t="shared" si="0"/>
        <v>13.704000000000001</v>
      </c>
      <c r="K61" s="2">
        <v>4</v>
      </c>
      <c r="L61" s="4">
        <v>8.1549999999999994</v>
      </c>
      <c r="M61" s="4">
        <f t="shared" si="1"/>
        <v>16.309999999999999</v>
      </c>
      <c r="N61" s="2">
        <v>4</v>
      </c>
      <c r="O61" s="2" t="s">
        <v>75</v>
      </c>
      <c r="P61" s="2" t="s">
        <v>616</v>
      </c>
      <c r="R61" s="2" t="s">
        <v>73</v>
      </c>
      <c r="S61" s="2" t="s">
        <v>73</v>
      </c>
      <c r="T61" s="2" t="s">
        <v>73</v>
      </c>
      <c r="U61" s="2">
        <v>120</v>
      </c>
      <c r="V61" s="2" t="s">
        <v>73</v>
      </c>
      <c r="W61" s="2">
        <v>12</v>
      </c>
      <c r="Y61" s="2" t="s">
        <v>89</v>
      </c>
      <c r="AB61" s="2" t="s">
        <v>152</v>
      </c>
      <c r="AE61" s="2" t="s">
        <v>133</v>
      </c>
      <c r="AF61" s="2" t="s">
        <v>87</v>
      </c>
      <c r="AG61" s="2" t="s">
        <v>615</v>
      </c>
    </row>
    <row r="62" spans="1:33" x14ac:dyDescent="0.2">
      <c r="A62" s="2">
        <v>61</v>
      </c>
      <c r="B62" s="2" t="s">
        <v>210</v>
      </c>
      <c r="C62" s="2" t="s">
        <v>217</v>
      </c>
      <c r="D62" s="2" t="s">
        <v>92</v>
      </c>
      <c r="E62" s="2" t="s">
        <v>150</v>
      </c>
      <c r="F62" s="2" t="s">
        <v>78</v>
      </c>
      <c r="G62" s="2">
        <v>24</v>
      </c>
      <c r="H62" s="2">
        <v>30</v>
      </c>
      <c r="I62" s="4">
        <v>88.435280999999989</v>
      </c>
      <c r="J62" s="4">
        <f t="shared" si="0"/>
        <v>176.87056199999998</v>
      </c>
      <c r="K62" s="2">
        <v>4</v>
      </c>
      <c r="L62" s="4">
        <v>221.438208</v>
      </c>
      <c r="M62" s="4">
        <f t="shared" si="1"/>
        <v>442.87641600000001</v>
      </c>
      <c r="N62" s="2">
        <v>4</v>
      </c>
      <c r="O62" s="2" t="s">
        <v>75</v>
      </c>
      <c r="P62" s="2" t="s">
        <v>616</v>
      </c>
      <c r="R62" s="2" t="s">
        <v>73</v>
      </c>
      <c r="S62" s="2" t="s">
        <v>73</v>
      </c>
      <c r="T62" s="2" t="s">
        <v>73</v>
      </c>
      <c r="U62" s="2">
        <v>120</v>
      </c>
      <c r="V62" s="2" t="s">
        <v>73</v>
      </c>
      <c r="W62" s="2">
        <v>12</v>
      </c>
      <c r="Y62" s="2" t="s">
        <v>89</v>
      </c>
      <c r="AB62" s="2" t="s">
        <v>152</v>
      </c>
      <c r="AE62" s="2" t="s">
        <v>133</v>
      </c>
      <c r="AF62" s="2" t="s">
        <v>87</v>
      </c>
      <c r="AG62" s="2" t="s">
        <v>615</v>
      </c>
    </row>
    <row r="63" spans="1:33" x14ac:dyDescent="0.2">
      <c r="A63" s="2">
        <v>62</v>
      </c>
      <c r="B63" s="2" t="s">
        <v>210</v>
      </c>
      <c r="C63" s="2" t="s">
        <v>217</v>
      </c>
      <c r="D63" s="2" t="s">
        <v>92</v>
      </c>
      <c r="E63" s="2" t="s">
        <v>150</v>
      </c>
      <c r="F63" s="2" t="s">
        <v>80</v>
      </c>
      <c r="G63" s="2">
        <v>24</v>
      </c>
      <c r="H63" s="2">
        <v>30</v>
      </c>
      <c r="I63" s="4">
        <v>6.9409999999999998</v>
      </c>
      <c r="J63" s="4">
        <f t="shared" si="0"/>
        <v>13.882</v>
      </c>
      <c r="K63" s="2">
        <v>4</v>
      </c>
      <c r="L63" s="4">
        <v>8.1219999999999999</v>
      </c>
      <c r="M63" s="4">
        <f t="shared" si="1"/>
        <v>16.244</v>
      </c>
      <c r="N63" s="2">
        <v>4</v>
      </c>
      <c r="O63" s="2" t="s">
        <v>75</v>
      </c>
      <c r="P63" s="2" t="s">
        <v>616</v>
      </c>
      <c r="R63" s="2" t="s">
        <v>73</v>
      </c>
      <c r="S63" s="2" t="s">
        <v>73</v>
      </c>
      <c r="T63" s="2" t="s">
        <v>73</v>
      </c>
      <c r="U63" s="2">
        <v>120</v>
      </c>
      <c r="V63" s="2" t="s">
        <v>73</v>
      </c>
      <c r="W63" s="2">
        <v>12</v>
      </c>
      <c r="Y63" s="2" t="s">
        <v>89</v>
      </c>
      <c r="AB63" s="2" t="s">
        <v>152</v>
      </c>
      <c r="AE63" s="2" t="s">
        <v>133</v>
      </c>
      <c r="AF63" s="2" t="s">
        <v>87</v>
      </c>
      <c r="AG63" s="2" t="s">
        <v>615</v>
      </c>
    </row>
    <row r="64" spans="1:33" x14ac:dyDescent="0.2">
      <c r="A64" s="2">
        <v>64</v>
      </c>
      <c r="B64" s="2" t="s">
        <v>252</v>
      </c>
      <c r="C64" s="2" t="s">
        <v>253</v>
      </c>
      <c r="D64" s="2" t="s">
        <v>92</v>
      </c>
      <c r="E64" s="2" t="s">
        <v>150</v>
      </c>
      <c r="F64" s="2" t="s">
        <v>78</v>
      </c>
      <c r="G64" s="2">
        <v>25</v>
      </c>
      <c r="H64" s="2">
        <v>29</v>
      </c>
      <c r="I64" s="4">
        <v>85.4</v>
      </c>
      <c r="J64" s="4">
        <v>5.0999999999999996</v>
      </c>
      <c r="K64" s="6">
        <v>3</v>
      </c>
      <c r="L64" s="4">
        <v>95.1</v>
      </c>
      <c r="M64" s="4">
        <v>7.9</v>
      </c>
      <c r="N64" s="2">
        <v>3</v>
      </c>
      <c r="O64" s="2" t="s">
        <v>75</v>
      </c>
      <c r="P64" s="2" t="s">
        <v>34</v>
      </c>
      <c r="R64" s="2" t="s">
        <v>73</v>
      </c>
      <c r="S64" s="2" t="s">
        <v>73</v>
      </c>
      <c r="T64" s="2" t="s">
        <v>73</v>
      </c>
      <c r="U64" s="2">
        <v>100</v>
      </c>
      <c r="V64" s="2" t="s">
        <v>73</v>
      </c>
      <c r="W64" s="2">
        <v>12</v>
      </c>
      <c r="Y64" s="2" t="s">
        <v>98</v>
      </c>
      <c r="Z64" s="2">
        <v>7</v>
      </c>
      <c r="AB64" s="2" t="s">
        <v>152</v>
      </c>
      <c r="AC64" s="2">
        <v>380</v>
      </c>
      <c r="AE64" s="2" t="s">
        <v>104</v>
      </c>
      <c r="AF64" s="2" t="s">
        <v>73</v>
      </c>
      <c r="AG64" s="2" t="s">
        <v>256</v>
      </c>
    </row>
    <row r="65" spans="1:33" x14ac:dyDescent="0.2">
      <c r="A65" s="2">
        <v>65</v>
      </c>
      <c r="B65" s="2" t="s">
        <v>252</v>
      </c>
      <c r="C65" s="2" t="s">
        <v>253</v>
      </c>
      <c r="D65" s="2" t="s">
        <v>92</v>
      </c>
      <c r="E65" s="2" t="s">
        <v>150</v>
      </c>
      <c r="F65" s="2" t="s">
        <v>80</v>
      </c>
      <c r="G65" s="2">
        <v>25</v>
      </c>
      <c r="H65" s="2">
        <v>29</v>
      </c>
      <c r="I65" s="4">
        <v>4.8</v>
      </c>
      <c r="J65" s="4">
        <v>0.1</v>
      </c>
      <c r="K65" s="6">
        <v>3</v>
      </c>
      <c r="L65" s="4">
        <v>4.9000000000000004</v>
      </c>
      <c r="M65" s="4">
        <v>0.04</v>
      </c>
      <c r="N65" s="2">
        <v>3</v>
      </c>
      <c r="O65" s="2" t="s">
        <v>75</v>
      </c>
      <c r="P65" s="2" t="s">
        <v>34</v>
      </c>
      <c r="R65" s="2" t="s">
        <v>73</v>
      </c>
      <c r="S65" s="2" t="s">
        <v>73</v>
      </c>
      <c r="T65" s="2" t="s">
        <v>73</v>
      </c>
      <c r="U65" s="2">
        <v>100</v>
      </c>
      <c r="V65" s="2" t="s">
        <v>73</v>
      </c>
      <c r="W65" s="2">
        <v>12</v>
      </c>
      <c r="Y65" s="2" t="s">
        <v>98</v>
      </c>
      <c r="Z65" s="2">
        <v>7</v>
      </c>
      <c r="AB65" s="2" t="s">
        <v>152</v>
      </c>
      <c r="AC65" s="2">
        <v>380</v>
      </c>
      <c r="AE65" s="2" t="s">
        <v>104</v>
      </c>
      <c r="AF65" s="2" t="s">
        <v>73</v>
      </c>
      <c r="AG65" s="2" t="s">
        <v>256</v>
      </c>
    </row>
    <row r="66" spans="1:33" x14ac:dyDescent="0.2">
      <c r="A66" s="2">
        <v>66</v>
      </c>
      <c r="B66" s="2" t="s">
        <v>252</v>
      </c>
      <c r="C66" s="2" t="s">
        <v>253</v>
      </c>
      <c r="D66" s="2" t="s">
        <v>92</v>
      </c>
      <c r="E66" s="2" t="s">
        <v>150</v>
      </c>
      <c r="F66" s="2" t="s">
        <v>78</v>
      </c>
      <c r="G66" s="2">
        <v>25</v>
      </c>
      <c r="H66" s="2">
        <v>29</v>
      </c>
      <c r="I66" s="4">
        <v>217.4</v>
      </c>
      <c r="J66" s="4">
        <v>17.399999999999999</v>
      </c>
      <c r="K66" s="6">
        <v>3</v>
      </c>
      <c r="L66" s="4">
        <v>251.9</v>
      </c>
      <c r="M66" s="4">
        <v>39.6</v>
      </c>
      <c r="N66" s="2">
        <v>3</v>
      </c>
      <c r="O66" s="2" t="s">
        <v>75</v>
      </c>
      <c r="P66" s="2" t="s">
        <v>34</v>
      </c>
      <c r="R66" s="2" t="s">
        <v>87</v>
      </c>
      <c r="S66" s="2" t="s">
        <v>73</v>
      </c>
      <c r="T66" s="2" t="s">
        <v>73</v>
      </c>
      <c r="U66" s="2">
        <v>100</v>
      </c>
      <c r="V66" s="2" t="s">
        <v>73</v>
      </c>
      <c r="W66" s="2">
        <v>12</v>
      </c>
      <c r="Y66" s="2" t="s">
        <v>98</v>
      </c>
      <c r="Z66" s="2">
        <v>7</v>
      </c>
      <c r="AB66" s="2" t="s">
        <v>152</v>
      </c>
      <c r="AC66" s="2">
        <v>750</v>
      </c>
      <c r="AE66" s="2" t="s">
        <v>104</v>
      </c>
      <c r="AF66" s="2" t="s">
        <v>73</v>
      </c>
      <c r="AG66" s="2" t="s">
        <v>257</v>
      </c>
    </row>
    <row r="67" spans="1:33" x14ac:dyDescent="0.2">
      <c r="A67" s="2">
        <v>67</v>
      </c>
      <c r="B67" s="2" t="s">
        <v>252</v>
      </c>
      <c r="C67" s="2" t="s">
        <v>253</v>
      </c>
      <c r="D67" s="2" t="s">
        <v>92</v>
      </c>
      <c r="E67" s="2" t="s">
        <v>150</v>
      </c>
      <c r="F67" s="2" t="s">
        <v>80</v>
      </c>
      <c r="G67" s="2">
        <v>25</v>
      </c>
      <c r="H67" s="2">
        <v>29</v>
      </c>
      <c r="I67" s="4">
        <v>4.8</v>
      </c>
      <c r="J67" s="4">
        <v>0.1</v>
      </c>
      <c r="K67" s="6">
        <v>3</v>
      </c>
      <c r="L67" s="4">
        <v>5.0999999999999996</v>
      </c>
      <c r="M67" s="4">
        <v>0.1</v>
      </c>
      <c r="N67" s="2">
        <v>3</v>
      </c>
      <c r="O67" s="2" t="s">
        <v>75</v>
      </c>
      <c r="P67" s="2" t="s">
        <v>34</v>
      </c>
      <c r="R67" s="2" t="s">
        <v>87</v>
      </c>
      <c r="S67" s="2" t="s">
        <v>73</v>
      </c>
      <c r="T67" s="2" t="s">
        <v>73</v>
      </c>
      <c r="U67" s="2">
        <v>100</v>
      </c>
      <c r="V67" s="2" t="s">
        <v>73</v>
      </c>
      <c r="W67" s="2">
        <v>12</v>
      </c>
      <c r="Y67" s="2" t="s">
        <v>98</v>
      </c>
      <c r="Z67" s="2">
        <v>7</v>
      </c>
      <c r="AB67" s="2" t="s">
        <v>152</v>
      </c>
      <c r="AC67" s="2">
        <v>750</v>
      </c>
      <c r="AE67" s="2" t="s">
        <v>104</v>
      </c>
      <c r="AF67" s="2" t="s">
        <v>73</v>
      </c>
      <c r="AG67" s="2" t="s">
        <v>257</v>
      </c>
    </row>
    <row r="68" spans="1:33" x14ac:dyDescent="0.2">
      <c r="A68" s="2">
        <v>68</v>
      </c>
      <c r="B68" s="2" t="s">
        <v>252</v>
      </c>
      <c r="C68" s="2" t="s">
        <v>255</v>
      </c>
      <c r="D68" s="2" t="s">
        <v>92</v>
      </c>
      <c r="E68" s="2" t="s">
        <v>150</v>
      </c>
      <c r="F68" s="2" t="s">
        <v>78</v>
      </c>
      <c r="G68" s="2">
        <v>25</v>
      </c>
      <c r="H68" s="2">
        <v>29</v>
      </c>
      <c r="I68" s="4">
        <v>90.3</v>
      </c>
      <c r="J68" s="4">
        <v>5.4</v>
      </c>
      <c r="K68" s="6">
        <v>3</v>
      </c>
      <c r="L68" s="4">
        <v>98.8</v>
      </c>
      <c r="M68" s="4">
        <v>3.6</v>
      </c>
      <c r="N68" s="2">
        <v>3</v>
      </c>
      <c r="O68" s="2" t="s">
        <v>75</v>
      </c>
      <c r="P68" s="2" t="s">
        <v>34</v>
      </c>
      <c r="R68" s="2" t="s">
        <v>73</v>
      </c>
      <c r="S68" s="2" t="s">
        <v>73</v>
      </c>
      <c r="T68" s="2" t="s">
        <v>73</v>
      </c>
      <c r="U68" s="2">
        <v>100</v>
      </c>
      <c r="V68" s="2" t="s">
        <v>73</v>
      </c>
      <c r="W68" s="2">
        <v>12</v>
      </c>
      <c r="Y68" s="2" t="s">
        <v>98</v>
      </c>
      <c r="Z68" s="2">
        <v>7</v>
      </c>
      <c r="AB68" s="2" t="s">
        <v>152</v>
      </c>
      <c r="AC68" s="2">
        <v>380</v>
      </c>
      <c r="AE68" s="2" t="s">
        <v>104</v>
      </c>
      <c r="AF68" s="2" t="s">
        <v>73</v>
      </c>
      <c r="AG68" s="2" t="s">
        <v>256</v>
      </c>
    </row>
    <row r="69" spans="1:33" x14ac:dyDescent="0.2">
      <c r="A69" s="2">
        <v>69</v>
      </c>
      <c r="B69" s="2" t="s">
        <v>252</v>
      </c>
      <c r="C69" s="2" t="s">
        <v>255</v>
      </c>
      <c r="D69" s="2" t="s">
        <v>92</v>
      </c>
      <c r="E69" s="2" t="s">
        <v>150</v>
      </c>
      <c r="F69" s="2" t="s">
        <v>80</v>
      </c>
      <c r="G69" s="2">
        <v>25</v>
      </c>
      <c r="H69" s="2">
        <v>29</v>
      </c>
      <c r="I69" s="4">
        <v>5.0999999999999996</v>
      </c>
      <c r="J69" s="4">
        <v>0.1</v>
      </c>
      <c r="K69" s="6">
        <v>3</v>
      </c>
      <c r="L69" s="4">
        <v>5.2</v>
      </c>
      <c r="M69" s="4">
        <v>0</v>
      </c>
      <c r="N69" s="2">
        <v>3</v>
      </c>
      <c r="O69" s="2" t="s">
        <v>75</v>
      </c>
      <c r="P69" s="2" t="s">
        <v>34</v>
      </c>
      <c r="R69" s="2" t="s">
        <v>73</v>
      </c>
      <c r="S69" s="2" t="s">
        <v>73</v>
      </c>
      <c r="T69" s="2" t="s">
        <v>73</v>
      </c>
      <c r="U69" s="2">
        <v>100</v>
      </c>
      <c r="V69" s="2" t="s">
        <v>73</v>
      </c>
      <c r="W69" s="2">
        <v>12</v>
      </c>
      <c r="Y69" s="2" t="s">
        <v>98</v>
      </c>
      <c r="Z69" s="2">
        <v>7</v>
      </c>
      <c r="AB69" s="2" t="s">
        <v>152</v>
      </c>
      <c r="AC69" s="2">
        <v>380</v>
      </c>
      <c r="AE69" s="2" t="s">
        <v>104</v>
      </c>
      <c r="AF69" s="2" t="s">
        <v>73</v>
      </c>
      <c r="AG69" s="2" t="s">
        <v>256</v>
      </c>
    </row>
    <row r="70" spans="1:33" x14ac:dyDescent="0.2">
      <c r="A70" s="2">
        <v>70</v>
      </c>
      <c r="B70" s="2" t="s">
        <v>252</v>
      </c>
      <c r="C70" s="2" t="s">
        <v>255</v>
      </c>
      <c r="D70" s="2" t="s">
        <v>92</v>
      </c>
      <c r="E70" s="2" t="s">
        <v>150</v>
      </c>
      <c r="F70" s="2" t="s">
        <v>78</v>
      </c>
      <c r="G70" s="2">
        <v>25</v>
      </c>
      <c r="H70" s="2">
        <v>29</v>
      </c>
      <c r="I70" s="4">
        <v>104.6</v>
      </c>
      <c r="J70" s="4">
        <v>4.0999999999999996</v>
      </c>
      <c r="K70" s="6">
        <v>3</v>
      </c>
      <c r="L70" s="4">
        <v>103.9</v>
      </c>
      <c r="M70" s="4">
        <v>8.1</v>
      </c>
      <c r="N70" s="2">
        <v>3</v>
      </c>
      <c r="O70" s="2" t="s">
        <v>75</v>
      </c>
      <c r="P70" s="2" t="s">
        <v>34</v>
      </c>
      <c r="R70" s="2" t="s">
        <v>73</v>
      </c>
      <c r="S70" s="2" t="s">
        <v>73</v>
      </c>
      <c r="T70" s="2" t="s">
        <v>73</v>
      </c>
      <c r="U70" s="2">
        <v>100</v>
      </c>
      <c r="V70" s="2" t="s">
        <v>73</v>
      </c>
      <c r="W70" s="2">
        <v>12</v>
      </c>
      <c r="Y70" s="2" t="s">
        <v>98</v>
      </c>
      <c r="Z70" s="2">
        <v>7</v>
      </c>
      <c r="AB70" s="2" t="s">
        <v>152</v>
      </c>
      <c r="AC70" s="2">
        <v>750</v>
      </c>
      <c r="AE70" s="2" t="s">
        <v>104</v>
      </c>
      <c r="AF70" s="2" t="s">
        <v>73</v>
      </c>
      <c r="AG70" s="2" t="s">
        <v>258</v>
      </c>
    </row>
    <row r="71" spans="1:33" x14ac:dyDescent="0.2">
      <c r="A71" s="2">
        <v>71</v>
      </c>
      <c r="B71" s="2" t="s">
        <v>252</v>
      </c>
      <c r="C71" s="2" t="s">
        <v>255</v>
      </c>
      <c r="D71" s="2" t="s">
        <v>92</v>
      </c>
      <c r="E71" s="2" t="s">
        <v>150</v>
      </c>
      <c r="F71" s="2" t="s">
        <v>80</v>
      </c>
      <c r="G71" s="2">
        <v>25</v>
      </c>
      <c r="H71" s="2">
        <v>29</v>
      </c>
      <c r="I71" s="4">
        <v>5.0999999999999996</v>
      </c>
      <c r="J71" s="4">
        <v>0</v>
      </c>
      <c r="K71" s="6">
        <v>3</v>
      </c>
      <c r="L71" s="4">
        <v>4.7</v>
      </c>
      <c r="M71" s="4">
        <v>0.3</v>
      </c>
      <c r="N71" s="2">
        <v>3</v>
      </c>
      <c r="O71" s="2" t="s">
        <v>75</v>
      </c>
      <c r="P71" s="2" t="s">
        <v>34</v>
      </c>
      <c r="R71" s="2" t="s">
        <v>73</v>
      </c>
      <c r="S71" s="2" t="s">
        <v>73</v>
      </c>
      <c r="T71" s="2" t="s">
        <v>73</v>
      </c>
      <c r="U71" s="2">
        <v>100</v>
      </c>
      <c r="V71" s="2" t="s">
        <v>73</v>
      </c>
      <c r="W71" s="2">
        <v>12</v>
      </c>
      <c r="Y71" s="2" t="s">
        <v>98</v>
      </c>
      <c r="Z71" s="2">
        <v>7</v>
      </c>
      <c r="AB71" s="2" t="s">
        <v>152</v>
      </c>
      <c r="AC71" s="2">
        <v>750</v>
      </c>
      <c r="AE71" s="2" t="s">
        <v>104</v>
      </c>
      <c r="AF71" s="2" t="s">
        <v>73</v>
      </c>
      <c r="AG71" s="2" t="s">
        <v>258</v>
      </c>
    </row>
    <row r="72" spans="1:33" x14ac:dyDescent="0.2">
      <c r="A72" s="2">
        <v>72</v>
      </c>
      <c r="B72" s="2" t="s">
        <v>265</v>
      </c>
      <c r="C72" s="2" t="s">
        <v>185</v>
      </c>
      <c r="D72" s="2" t="s">
        <v>92</v>
      </c>
      <c r="E72" s="2" t="s">
        <v>150</v>
      </c>
      <c r="F72" s="2" t="s">
        <v>78</v>
      </c>
      <c r="G72" s="10">
        <v>22</v>
      </c>
      <c r="H72" s="2">
        <v>27</v>
      </c>
      <c r="I72" s="4">
        <v>60.8</v>
      </c>
      <c r="J72" s="4">
        <v>4.5</v>
      </c>
      <c r="K72" s="2">
        <v>3</v>
      </c>
      <c r="L72" s="4">
        <v>98.9</v>
      </c>
      <c r="M72" s="4">
        <v>4.5999999999999996</v>
      </c>
      <c r="N72" s="2">
        <v>3</v>
      </c>
      <c r="O72" s="2" t="s">
        <v>75</v>
      </c>
      <c r="R72" s="2" t="s">
        <v>73</v>
      </c>
      <c r="S72" s="2" t="s">
        <v>73</v>
      </c>
      <c r="T72" s="2" t="s">
        <v>73</v>
      </c>
      <c r="U72" s="2">
        <v>150</v>
      </c>
      <c r="V72" s="2" t="s">
        <v>73</v>
      </c>
      <c r="W72" s="2">
        <v>12</v>
      </c>
      <c r="Y72" s="2" t="s">
        <v>89</v>
      </c>
      <c r="AB72" s="2" t="s">
        <v>152</v>
      </c>
      <c r="AE72" s="2" t="s">
        <v>264</v>
      </c>
      <c r="AF72" s="2" t="s">
        <v>73</v>
      </c>
      <c r="AG72" s="2" t="s">
        <v>267</v>
      </c>
    </row>
    <row r="73" spans="1:33" x14ac:dyDescent="0.2">
      <c r="A73" s="2">
        <v>73</v>
      </c>
      <c r="B73" s="2" t="s">
        <v>265</v>
      </c>
      <c r="C73" s="2" t="s">
        <v>185</v>
      </c>
      <c r="D73" s="2" t="s">
        <v>92</v>
      </c>
      <c r="E73" s="2" t="s">
        <v>150</v>
      </c>
      <c r="F73" s="2" t="s">
        <v>80</v>
      </c>
      <c r="G73" s="10">
        <v>22</v>
      </c>
      <c r="H73" s="2">
        <v>27</v>
      </c>
      <c r="I73" s="4">
        <v>5.9</v>
      </c>
      <c r="J73" s="4">
        <v>0.1</v>
      </c>
      <c r="K73" s="2">
        <v>3</v>
      </c>
      <c r="L73" s="4">
        <v>5.0999999999999996</v>
      </c>
      <c r="M73" s="4">
        <v>0.5</v>
      </c>
      <c r="N73" s="2">
        <v>3</v>
      </c>
      <c r="O73" s="2" t="s">
        <v>75</v>
      </c>
      <c r="R73" s="2" t="s">
        <v>73</v>
      </c>
      <c r="S73" s="2" t="s">
        <v>73</v>
      </c>
      <c r="T73" s="2" t="s">
        <v>73</v>
      </c>
      <c r="U73" s="2">
        <v>150</v>
      </c>
      <c r="V73" s="2" t="s">
        <v>73</v>
      </c>
      <c r="W73" s="2">
        <v>12</v>
      </c>
      <c r="Y73" s="2" t="s">
        <v>89</v>
      </c>
      <c r="AB73" s="2" t="s">
        <v>152</v>
      </c>
      <c r="AE73" s="2" t="s">
        <v>264</v>
      </c>
      <c r="AF73" s="2" t="s">
        <v>73</v>
      </c>
      <c r="AG73" s="2" t="s">
        <v>267</v>
      </c>
    </row>
    <row r="74" spans="1:33" x14ac:dyDescent="0.2">
      <c r="A74" s="2">
        <v>74</v>
      </c>
      <c r="B74" s="2" t="s">
        <v>265</v>
      </c>
      <c r="C74" s="2" t="s">
        <v>185</v>
      </c>
      <c r="D74" s="2" t="s">
        <v>92</v>
      </c>
      <c r="E74" s="2" t="s">
        <v>150</v>
      </c>
      <c r="F74" s="2" t="s">
        <v>78</v>
      </c>
      <c r="G74" s="10">
        <v>22</v>
      </c>
      <c r="H74" s="2">
        <v>32</v>
      </c>
      <c r="I74" s="4">
        <v>230.7</v>
      </c>
      <c r="J74" s="4">
        <v>26.7</v>
      </c>
      <c r="K74" s="2">
        <v>3</v>
      </c>
      <c r="L74" s="4">
        <v>240.8</v>
      </c>
      <c r="M74" s="4">
        <v>13.7</v>
      </c>
      <c r="N74" s="2">
        <v>3</v>
      </c>
      <c r="O74" s="2" t="s">
        <v>75</v>
      </c>
      <c r="R74" s="2" t="s">
        <v>73</v>
      </c>
      <c r="S74" s="2" t="s">
        <v>73</v>
      </c>
      <c r="T74" s="2" t="s">
        <v>87</v>
      </c>
      <c r="U74" s="2">
        <v>150</v>
      </c>
      <c r="V74" s="2" t="s">
        <v>73</v>
      </c>
      <c r="W74" s="2">
        <v>12</v>
      </c>
      <c r="Y74" s="2" t="s">
        <v>89</v>
      </c>
      <c r="AB74" s="2" t="s">
        <v>152</v>
      </c>
      <c r="AE74" s="2" t="s">
        <v>264</v>
      </c>
      <c r="AF74" s="2" t="s">
        <v>73</v>
      </c>
      <c r="AG74" s="2" t="s">
        <v>268</v>
      </c>
    </row>
    <row r="75" spans="1:33" x14ac:dyDescent="0.2">
      <c r="A75" s="2">
        <v>75</v>
      </c>
      <c r="B75" s="2" t="s">
        <v>265</v>
      </c>
      <c r="C75" s="2" t="s">
        <v>185</v>
      </c>
      <c r="D75" s="2" t="s">
        <v>92</v>
      </c>
      <c r="E75" s="2" t="s">
        <v>150</v>
      </c>
      <c r="F75" s="2" t="s">
        <v>80</v>
      </c>
      <c r="G75" s="10">
        <v>22</v>
      </c>
      <c r="H75" s="2">
        <v>32</v>
      </c>
      <c r="I75" s="4">
        <v>6.3</v>
      </c>
      <c r="J75" s="4">
        <v>0.3</v>
      </c>
      <c r="K75" s="2">
        <v>3</v>
      </c>
      <c r="L75" s="4">
        <v>6.7</v>
      </c>
      <c r="M75" s="4">
        <v>0.1</v>
      </c>
      <c r="N75" s="2">
        <v>3</v>
      </c>
      <c r="O75" s="2" t="s">
        <v>75</v>
      </c>
      <c r="R75" s="2" t="s">
        <v>73</v>
      </c>
      <c r="S75" s="2" t="s">
        <v>73</v>
      </c>
      <c r="T75" s="2" t="s">
        <v>87</v>
      </c>
      <c r="U75" s="2">
        <v>150</v>
      </c>
      <c r="V75" s="2" t="s">
        <v>73</v>
      </c>
      <c r="W75" s="2">
        <v>12</v>
      </c>
      <c r="Y75" s="2" t="s">
        <v>89</v>
      </c>
      <c r="AB75" s="2" t="s">
        <v>152</v>
      </c>
      <c r="AE75" s="2" t="s">
        <v>264</v>
      </c>
      <c r="AF75" s="2" t="s">
        <v>73</v>
      </c>
      <c r="AG75" s="2" t="s">
        <v>268</v>
      </c>
    </row>
    <row r="76" spans="1:33" x14ac:dyDescent="0.2">
      <c r="A76" s="2">
        <v>76</v>
      </c>
      <c r="B76" s="2" t="s">
        <v>285</v>
      </c>
      <c r="C76" s="2" t="s">
        <v>287</v>
      </c>
      <c r="D76" s="2" t="s">
        <v>70</v>
      </c>
      <c r="E76" s="2" t="s">
        <v>71</v>
      </c>
      <c r="F76" s="2" t="s">
        <v>78</v>
      </c>
      <c r="G76" s="2">
        <v>3</v>
      </c>
      <c r="H76" s="2">
        <v>9</v>
      </c>
      <c r="I76" s="4">
        <v>41.542087542087543</v>
      </c>
      <c r="J76" s="4">
        <v>2.5782515772435328</v>
      </c>
      <c r="K76" s="2">
        <v>3</v>
      </c>
      <c r="L76" s="4">
        <v>45.189054726368163</v>
      </c>
      <c r="M76" s="4">
        <v>2.1940036439363904</v>
      </c>
      <c r="N76" s="2">
        <v>3</v>
      </c>
      <c r="O76" s="2" t="s">
        <v>95</v>
      </c>
      <c r="P76" s="2" t="s">
        <v>616</v>
      </c>
      <c r="R76" s="2" t="s">
        <v>73</v>
      </c>
      <c r="S76" s="2" t="s">
        <v>73</v>
      </c>
      <c r="T76" s="2" t="s">
        <v>73</v>
      </c>
      <c r="U76" s="2">
        <v>50</v>
      </c>
      <c r="V76" s="2" t="s">
        <v>73</v>
      </c>
      <c r="W76" s="2">
        <v>14</v>
      </c>
      <c r="X76" s="2">
        <v>6</v>
      </c>
      <c r="Y76" s="2" t="s">
        <v>98</v>
      </c>
      <c r="AB76" s="2" t="s">
        <v>116</v>
      </c>
      <c r="AE76" s="2" t="s">
        <v>235</v>
      </c>
      <c r="AF76" s="2" t="s">
        <v>73</v>
      </c>
      <c r="AG76" s="2" t="s">
        <v>286</v>
      </c>
    </row>
    <row r="77" spans="1:33" x14ac:dyDescent="0.2">
      <c r="A77" s="2">
        <v>77</v>
      </c>
      <c r="B77" s="2" t="s">
        <v>285</v>
      </c>
      <c r="C77" s="2" t="s">
        <v>287</v>
      </c>
      <c r="D77" s="2" t="s">
        <v>70</v>
      </c>
      <c r="E77" s="2" t="s">
        <v>71</v>
      </c>
      <c r="F77" s="2" t="s">
        <v>80</v>
      </c>
      <c r="G77" s="2">
        <v>3</v>
      </c>
      <c r="H77" s="2">
        <v>9</v>
      </c>
      <c r="I77" s="4">
        <v>6.5630153121319195</v>
      </c>
      <c r="J77" s="4">
        <v>0.55742559617441489</v>
      </c>
      <c r="K77" s="2">
        <v>3</v>
      </c>
      <c r="L77" s="4">
        <v>6.605475040257649</v>
      </c>
      <c r="M77" s="4">
        <v>0.49445678453523018</v>
      </c>
      <c r="N77" s="2">
        <v>3</v>
      </c>
      <c r="O77" s="2" t="s">
        <v>95</v>
      </c>
      <c r="P77" s="2" t="s">
        <v>616</v>
      </c>
      <c r="R77" s="2" t="s">
        <v>73</v>
      </c>
      <c r="S77" s="2" t="s">
        <v>73</v>
      </c>
      <c r="T77" s="2" t="s">
        <v>73</v>
      </c>
      <c r="U77" s="2">
        <v>50</v>
      </c>
      <c r="V77" s="2" t="s">
        <v>73</v>
      </c>
      <c r="W77" s="2">
        <v>14</v>
      </c>
      <c r="X77" s="2">
        <v>6</v>
      </c>
      <c r="Y77" s="2" t="s">
        <v>98</v>
      </c>
      <c r="AB77" s="2" t="s">
        <v>116</v>
      </c>
      <c r="AE77" s="2" t="s">
        <v>235</v>
      </c>
      <c r="AF77" s="2" t="s">
        <v>73</v>
      </c>
      <c r="AG77" s="2" t="s">
        <v>286</v>
      </c>
    </row>
    <row r="78" spans="1:33" x14ac:dyDescent="0.2">
      <c r="A78" s="2">
        <v>78</v>
      </c>
      <c r="B78" s="2" t="s">
        <v>285</v>
      </c>
      <c r="C78" s="2" t="s">
        <v>288</v>
      </c>
      <c r="D78" s="2" t="s">
        <v>70</v>
      </c>
      <c r="E78" s="2" t="s">
        <v>71</v>
      </c>
      <c r="F78" s="2" t="s">
        <v>78</v>
      </c>
      <c r="G78" s="2">
        <v>3</v>
      </c>
      <c r="H78" s="2">
        <v>9</v>
      </c>
      <c r="I78" s="4">
        <v>66.440104166666657</v>
      </c>
      <c r="J78" s="4">
        <v>5.8305834620155608</v>
      </c>
      <c r="K78" s="2">
        <v>3</v>
      </c>
      <c r="L78" s="4">
        <v>73.056666666666672</v>
      </c>
      <c r="M78" s="4">
        <v>4.0402651486147683</v>
      </c>
      <c r="N78" s="2">
        <v>3</v>
      </c>
      <c r="O78" s="2" t="s">
        <v>95</v>
      </c>
      <c r="P78" s="2" t="s">
        <v>616</v>
      </c>
      <c r="R78" s="2" t="s">
        <v>73</v>
      </c>
      <c r="S78" s="2" t="s">
        <v>73</v>
      </c>
      <c r="T78" s="2" t="s">
        <v>73</v>
      </c>
      <c r="U78" s="2">
        <v>50</v>
      </c>
      <c r="V78" s="2" t="s">
        <v>73</v>
      </c>
      <c r="W78" s="2">
        <v>14</v>
      </c>
      <c r="X78" s="2">
        <v>6</v>
      </c>
      <c r="Y78" s="2" t="s">
        <v>98</v>
      </c>
      <c r="AB78" s="2" t="s">
        <v>116</v>
      </c>
      <c r="AE78" s="2" t="s">
        <v>235</v>
      </c>
      <c r="AF78" s="2" t="s">
        <v>73</v>
      </c>
      <c r="AG78" s="2" t="s">
        <v>286</v>
      </c>
    </row>
    <row r="79" spans="1:33" x14ac:dyDescent="0.2">
      <c r="A79" s="2">
        <v>79</v>
      </c>
      <c r="B79" s="2" t="s">
        <v>285</v>
      </c>
      <c r="C79" s="2" t="s">
        <v>288</v>
      </c>
      <c r="D79" s="2" t="s">
        <v>70</v>
      </c>
      <c r="E79" s="2" t="s">
        <v>71</v>
      </c>
      <c r="F79" s="2" t="s">
        <v>80</v>
      </c>
      <c r="G79" s="2">
        <v>3</v>
      </c>
      <c r="H79" s="2">
        <v>9</v>
      </c>
      <c r="I79" s="4">
        <v>6.8096926699999996</v>
      </c>
      <c r="J79" s="4">
        <v>0.83713192999999997</v>
      </c>
      <c r="K79" s="2">
        <v>3</v>
      </c>
      <c r="L79" s="4">
        <v>6.1554726368159205</v>
      </c>
      <c r="M79" s="4">
        <v>0.29836633736038376</v>
      </c>
      <c r="N79" s="2">
        <v>3</v>
      </c>
      <c r="O79" s="2" t="s">
        <v>95</v>
      </c>
      <c r="P79" s="2" t="s">
        <v>616</v>
      </c>
      <c r="R79" s="2" t="s">
        <v>73</v>
      </c>
      <c r="S79" s="2" t="s">
        <v>73</v>
      </c>
      <c r="T79" s="2" t="s">
        <v>73</v>
      </c>
      <c r="U79" s="2">
        <v>50</v>
      </c>
      <c r="V79" s="2" t="s">
        <v>73</v>
      </c>
      <c r="W79" s="2">
        <v>14</v>
      </c>
      <c r="X79" s="2">
        <v>6</v>
      </c>
      <c r="Y79" s="2" t="s">
        <v>98</v>
      </c>
      <c r="AB79" s="2" t="s">
        <v>116</v>
      </c>
      <c r="AE79" s="2" t="s">
        <v>235</v>
      </c>
      <c r="AF79" s="2" t="s">
        <v>73</v>
      </c>
      <c r="AG79" s="2" t="s">
        <v>286</v>
      </c>
    </row>
    <row r="80" spans="1:33" x14ac:dyDescent="0.2">
      <c r="A80" s="2">
        <v>80</v>
      </c>
      <c r="B80" s="2" t="s">
        <v>285</v>
      </c>
      <c r="C80" s="2" t="s">
        <v>289</v>
      </c>
      <c r="D80" s="2" t="s">
        <v>70</v>
      </c>
      <c r="E80" s="2" t="s">
        <v>71</v>
      </c>
      <c r="F80" s="2" t="s">
        <v>78</v>
      </c>
      <c r="G80" s="2">
        <v>3</v>
      </c>
      <c r="H80" s="2">
        <v>9</v>
      </c>
      <c r="I80" s="4">
        <v>43.634114583333336</v>
      </c>
      <c r="J80" s="4">
        <v>6.1426840455815652</v>
      </c>
      <c r="K80" s="2">
        <v>3</v>
      </c>
      <c r="L80" s="4">
        <v>67.778508771929822</v>
      </c>
      <c r="M80" s="4">
        <v>22.018550774166613</v>
      </c>
      <c r="N80" s="2">
        <v>3</v>
      </c>
      <c r="O80" s="2" t="s">
        <v>95</v>
      </c>
      <c r="P80" s="2" t="s">
        <v>616</v>
      </c>
      <c r="R80" s="2" t="s">
        <v>73</v>
      </c>
      <c r="S80" s="2" t="s">
        <v>73</v>
      </c>
      <c r="T80" s="2" t="s">
        <v>73</v>
      </c>
      <c r="U80" s="2">
        <v>50</v>
      </c>
      <c r="V80" s="2" t="s">
        <v>73</v>
      </c>
      <c r="W80" s="2">
        <v>14</v>
      </c>
      <c r="X80" s="2">
        <v>6</v>
      </c>
      <c r="Y80" s="2" t="s">
        <v>98</v>
      </c>
      <c r="AB80" s="2" t="s">
        <v>116</v>
      </c>
      <c r="AE80" s="2" t="s">
        <v>235</v>
      </c>
      <c r="AF80" s="2" t="s">
        <v>73</v>
      </c>
      <c r="AG80" s="2" t="s">
        <v>286</v>
      </c>
    </row>
    <row r="81" spans="1:33" x14ac:dyDescent="0.2">
      <c r="A81" s="2">
        <v>81</v>
      </c>
      <c r="B81" s="2" t="s">
        <v>285</v>
      </c>
      <c r="C81" s="2" t="s">
        <v>289</v>
      </c>
      <c r="D81" s="2" t="s">
        <v>70</v>
      </c>
      <c r="E81" s="2" t="s">
        <v>71</v>
      </c>
      <c r="F81" s="2" t="s">
        <v>80</v>
      </c>
      <c r="G81" s="2">
        <v>3</v>
      </c>
      <c r="H81" s="2">
        <v>9</v>
      </c>
      <c r="I81" s="4">
        <v>5.3896011396011394</v>
      </c>
      <c r="J81" s="4">
        <v>0.4598442058851544</v>
      </c>
      <c r="K81" s="2">
        <v>3</v>
      </c>
      <c r="L81" s="4">
        <v>7.0924796747967482</v>
      </c>
      <c r="M81" s="4">
        <v>2.2474617594820634</v>
      </c>
      <c r="N81" s="2">
        <v>3</v>
      </c>
      <c r="O81" s="2" t="s">
        <v>95</v>
      </c>
      <c r="P81" s="2" t="s">
        <v>616</v>
      </c>
      <c r="R81" s="2" t="s">
        <v>73</v>
      </c>
      <c r="S81" s="2" t="s">
        <v>73</v>
      </c>
      <c r="T81" s="2" t="s">
        <v>73</v>
      </c>
      <c r="U81" s="2">
        <v>50</v>
      </c>
      <c r="V81" s="2" t="s">
        <v>73</v>
      </c>
      <c r="W81" s="2">
        <v>14</v>
      </c>
      <c r="X81" s="2">
        <v>6</v>
      </c>
      <c r="Y81" s="2" t="s">
        <v>98</v>
      </c>
      <c r="AB81" s="2" t="s">
        <v>116</v>
      </c>
      <c r="AE81" s="2" t="s">
        <v>235</v>
      </c>
      <c r="AF81" s="2" t="s">
        <v>73</v>
      </c>
      <c r="AG81" s="2" t="s">
        <v>286</v>
      </c>
    </row>
    <row r="82" spans="1:33" x14ac:dyDescent="0.2">
      <c r="A82" s="2">
        <v>82</v>
      </c>
      <c r="B82" s="2" t="s">
        <v>300</v>
      </c>
      <c r="C82" s="2" t="s">
        <v>197</v>
      </c>
      <c r="D82" s="2" t="s">
        <v>84</v>
      </c>
      <c r="E82" s="2" t="s">
        <v>85</v>
      </c>
      <c r="F82" s="2" t="s">
        <v>80</v>
      </c>
      <c r="G82" s="10">
        <v>10</v>
      </c>
      <c r="H82" s="2">
        <v>20</v>
      </c>
      <c r="I82" s="4">
        <v>7.12</v>
      </c>
      <c r="J82" s="4">
        <f>2.25*SQRT(3)</f>
        <v>3.8971143170299736</v>
      </c>
      <c r="K82" s="2">
        <v>3</v>
      </c>
      <c r="L82" s="4">
        <v>7.75</v>
      </c>
      <c r="M82" s="4">
        <f>2.37*SQRT(3)</f>
        <v>4.1049604139382394</v>
      </c>
      <c r="N82" s="2">
        <v>3</v>
      </c>
      <c r="O82" s="2" t="s">
        <v>75</v>
      </c>
      <c r="P82" s="2" t="s">
        <v>616</v>
      </c>
      <c r="R82" s="2" t="s">
        <v>73</v>
      </c>
      <c r="S82" s="2" t="s">
        <v>73</v>
      </c>
      <c r="T82" s="2" t="s">
        <v>87</v>
      </c>
      <c r="U82" s="2">
        <v>80</v>
      </c>
      <c r="V82" s="2" t="s">
        <v>73</v>
      </c>
      <c r="W82" s="2">
        <v>24</v>
      </c>
      <c r="Y82" s="2" t="s">
        <v>98</v>
      </c>
      <c r="Z82" s="2">
        <v>10</v>
      </c>
      <c r="AB82" s="2" t="s">
        <v>116</v>
      </c>
      <c r="AE82" s="2" t="s">
        <v>142</v>
      </c>
      <c r="AF82" s="2" t="s">
        <v>73</v>
      </c>
      <c r="AG82" s="2" t="s">
        <v>525</v>
      </c>
    </row>
    <row r="83" spans="1:33" x14ac:dyDescent="0.2">
      <c r="A83" s="2">
        <v>83</v>
      </c>
      <c r="B83" s="2" t="s">
        <v>300</v>
      </c>
      <c r="C83" s="2" t="s">
        <v>197</v>
      </c>
      <c r="D83" s="2" t="s">
        <v>84</v>
      </c>
      <c r="E83" s="2" t="s">
        <v>85</v>
      </c>
      <c r="F83" s="2" t="s">
        <v>80</v>
      </c>
      <c r="G83" s="10">
        <v>10</v>
      </c>
      <c r="H83" s="2">
        <v>20</v>
      </c>
      <c r="I83" s="4">
        <v>6.9</v>
      </c>
      <c r="J83" s="4">
        <v>0.6</v>
      </c>
      <c r="K83" s="2">
        <v>3</v>
      </c>
      <c r="L83" s="4">
        <v>8.15</v>
      </c>
      <c r="M83" s="4">
        <f>0.15*SQRT(3)</f>
        <v>0.25980762113533157</v>
      </c>
      <c r="N83" s="2">
        <v>3</v>
      </c>
      <c r="O83" s="2" t="s">
        <v>75</v>
      </c>
      <c r="P83" s="2" t="s">
        <v>616</v>
      </c>
      <c r="R83" s="2" t="s">
        <v>73</v>
      </c>
      <c r="S83" s="2" t="s">
        <v>73</v>
      </c>
      <c r="T83" s="2" t="s">
        <v>73</v>
      </c>
      <c r="U83" s="2">
        <v>80</v>
      </c>
      <c r="V83" s="2" t="s">
        <v>73</v>
      </c>
      <c r="W83" s="2">
        <v>24</v>
      </c>
      <c r="Y83" s="2" t="s">
        <v>98</v>
      </c>
      <c r="Z83" s="2">
        <v>10</v>
      </c>
      <c r="AB83" s="2" t="s">
        <v>116</v>
      </c>
      <c r="AE83" s="2" t="s">
        <v>142</v>
      </c>
      <c r="AF83" s="2" t="s">
        <v>73</v>
      </c>
      <c r="AG83" s="2" t="s">
        <v>526</v>
      </c>
    </row>
    <row r="84" spans="1:33" x14ac:dyDescent="0.2">
      <c r="A84" s="2">
        <v>84</v>
      </c>
      <c r="B84" s="2" t="s">
        <v>338</v>
      </c>
      <c r="C84" s="2" t="s">
        <v>266</v>
      </c>
      <c r="D84" s="2" t="s">
        <v>92</v>
      </c>
      <c r="E84" s="2" t="s">
        <v>150</v>
      </c>
      <c r="F84" s="2" t="s">
        <v>78</v>
      </c>
      <c r="G84" s="2">
        <v>25</v>
      </c>
      <c r="H84" s="2">
        <v>31</v>
      </c>
      <c r="I84" s="4">
        <v>139.792</v>
      </c>
      <c r="J84" s="4">
        <v>27.829000000000008</v>
      </c>
      <c r="K84" s="2">
        <v>12</v>
      </c>
      <c r="L84" s="4">
        <v>164.41300000000001</v>
      </c>
      <c r="M84" s="4">
        <v>48.528999999999996</v>
      </c>
      <c r="N84" s="2">
        <v>12</v>
      </c>
      <c r="O84" s="2" t="s">
        <v>95</v>
      </c>
      <c r="P84" s="2" t="s">
        <v>616</v>
      </c>
      <c r="R84" s="2" t="s">
        <v>73</v>
      </c>
      <c r="S84" s="2" t="s">
        <v>73</v>
      </c>
      <c r="T84" s="2" t="s">
        <v>73</v>
      </c>
      <c r="U84" s="2">
        <v>80</v>
      </c>
      <c r="V84" s="2" t="s">
        <v>73</v>
      </c>
      <c r="W84" s="2">
        <v>12</v>
      </c>
      <c r="Y84" s="2" t="s">
        <v>89</v>
      </c>
      <c r="Z84" s="2">
        <v>10</v>
      </c>
      <c r="AB84" s="2" t="s">
        <v>152</v>
      </c>
      <c r="AC84" s="2">
        <v>400</v>
      </c>
      <c r="AE84" s="2" t="s">
        <v>189</v>
      </c>
      <c r="AF84" s="2" t="s">
        <v>87</v>
      </c>
      <c r="AG84" s="2" t="s">
        <v>339</v>
      </c>
    </row>
    <row r="85" spans="1:33" x14ac:dyDescent="0.2">
      <c r="A85" s="2">
        <v>85</v>
      </c>
      <c r="B85" s="2" t="s">
        <v>338</v>
      </c>
      <c r="C85" s="2" t="s">
        <v>266</v>
      </c>
      <c r="D85" s="2" t="s">
        <v>92</v>
      </c>
      <c r="E85" s="2" t="s">
        <v>150</v>
      </c>
      <c r="F85" s="2" t="s">
        <v>80</v>
      </c>
      <c r="G85" s="2">
        <v>25</v>
      </c>
      <c r="H85" s="2">
        <v>31</v>
      </c>
      <c r="I85" s="4">
        <v>7.2690000000000001</v>
      </c>
      <c r="J85" s="4">
        <v>0.95400000000000063</v>
      </c>
      <c r="K85" s="2">
        <v>12</v>
      </c>
      <c r="L85" s="4">
        <v>6.65</v>
      </c>
      <c r="M85" s="4">
        <v>0.64999999999999947</v>
      </c>
      <c r="N85" s="2">
        <v>12</v>
      </c>
      <c r="O85" s="2" t="s">
        <v>95</v>
      </c>
      <c r="P85" s="2" t="s">
        <v>616</v>
      </c>
      <c r="R85" s="2" t="s">
        <v>73</v>
      </c>
      <c r="S85" s="2" t="s">
        <v>73</v>
      </c>
      <c r="T85" s="2" t="s">
        <v>73</v>
      </c>
      <c r="U85" s="2">
        <v>80</v>
      </c>
      <c r="V85" s="2" t="s">
        <v>73</v>
      </c>
      <c r="W85" s="2">
        <v>12</v>
      </c>
      <c r="Y85" s="2" t="s">
        <v>89</v>
      </c>
      <c r="Z85" s="2">
        <v>10</v>
      </c>
      <c r="AB85" s="2" t="s">
        <v>152</v>
      </c>
      <c r="AC85" s="2">
        <v>400</v>
      </c>
      <c r="AE85" s="2" t="s">
        <v>189</v>
      </c>
      <c r="AF85" s="2" t="s">
        <v>87</v>
      </c>
      <c r="AG85" s="2" t="s">
        <v>339</v>
      </c>
    </row>
    <row r="86" spans="1:33" x14ac:dyDescent="0.2">
      <c r="A86" s="2">
        <v>86</v>
      </c>
      <c r="B86" s="2" t="s">
        <v>338</v>
      </c>
      <c r="C86" s="2" t="s">
        <v>266</v>
      </c>
      <c r="D86" s="2" t="s">
        <v>92</v>
      </c>
      <c r="E86" s="2" t="s">
        <v>150</v>
      </c>
      <c r="F86" s="2" t="s">
        <v>78</v>
      </c>
      <c r="G86" s="2">
        <v>25</v>
      </c>
      <c r="H86" s="2">
        <v>31</v>
      </c>
      <c r="I86" s="4">
        <v>119.587</v>
      </c>
      <c r="J86" s="4">
        <v>30.977999999999994</v>
      </c>
      <c r="K86" s="2">
        <v>12</v>
      </c>
      <c r="L86" s="4">
        <v>196.82300000000001</v>
      </c>
      <c r="M86" s="4">
        <v>26.449999999999989</v>
      </c>
      <c r="N86" s="2">
        <v>12</v>
      </c>
      <c r="O86" s="2" t="s">
        <v>95</v>
      </c>
      <c r="P86" s="2" t="s">
        <v>616</v>
      </c>
      <c r="R86" s="2" t="s">
        <v>73</v>
      </c>
      <c r="S86" s="2" t="s">
        <v>73</v>
      </c>
      <c r="T86" s="2" t="s">
        <v>73</v>
      </c>
      <c r="U86" s="2">
        <v>80</v>
      </c>
      <c r="V86" s="2" t="s">
        <v>73</v>
      </c>
      <c r="W86" s="2">
        <v>12</v>
      </c>
      <c r="Y86" s="2" t="s">
        <v>89</v>
      </c>
      <c r="Z86" s="2">
        <v>10</v>
      </c>
      <c r="AB86" s="2" t="s">
        <v>152</v>
      </c>
      <c r="AC86" s="2">
        <v>900</v>
      </c>
      <c r="AE86" s="2" t="s">
        <v>189</v>
      </c>
      <c r="AF86" s="2" t="s">
        <v>87</v>
      </c>
      <c r="AG86" s="2" t="s">
        <v>339</v>
      </c>
    </row>
    <row r="87" spans="1:33" x14ac:dyDescent="0.2">
      <c r="A87" s="2">
        <v>87</v>
      </c>
      <c r="B87" s="2" t="s">
        <v>338</v>
      </c>
      <c r="C87" s="2" t="s">
        <v>266</v>
      </c>
      <c r="D87" s="2" t="s">
        <v>92</v>
      </c>
      <c r="E87" s="2" t="s">
        <v>150</v>
      </c>
      <c r="F87" s="2" t="s">
        <v>80</v>
      </c>
      <c r="G87" s="2">
        <v>25</v>
      </c>
      <c r="H87" s="2">
        <v>31</v>
      </c>
      <c r="I87" s="4">
        <v>6.52</v>
      </c>
      <c r="J87" s="4">
        <v>0.38700000000000045</v>
      </c>
      <c r="K87" s="2">
        <v>12</v>
      </c>
      <c r="L87" s="4">
        <v>5.9669999999999996</v>
      </c>
      <c r="M87" s="4">
        <v>0.47300000000000075</v>
      </c>
      <c r="N87" s="2">
        <v>12</v>
      </c>
      <c r="O87" s="2" t="s">
        <v>95</v>
      </c>
      <c r="P87" s="2" t="s">
        <v>616</v>
      </c>
      <c r="R87" s="2" t="s">
        <v>73</v>
      </c>
      <c r="S87" s="2" t="s">
        <v>73</v>
      </c>
      <c r="T87" s="2" t="s">
        <v>73</v>
      </c>
      <c r="U87" s="2">
        <v>80</v>
      </c>
      <c r="V87" s="2" t="s">
        <v>73</v>
      </c>
      <c r="W87" s="2">
        <v>12</v>
      </c>
      <c r="Y87" s="2" t="s">
        <v>89</v>
      </c>
      <c r="Z87" s="2">
        <v>10</v>
      </c>
      <c r="AB87" s="2" t="s">
        <v>152</v>
      </c>
      <c r="AC87" s="2">
        <v>900</v>
      </c>
      <c r="AE87" s="2" t="s">
        <v>189</v>
      </c>
      <c r="AF87" s="2" t="s">
        <v>87</v>
      </c>
      <c r="AG87" s="2" t="s">
        <v>339</v>
      </c>
    </row>
    <row r="88" spans="1:33" x14ac:dyDescent="0.2">
      <c r="A88" s="2">
        <v>89</v>
      </c>
      <c r="B88" s="2" t="s">
        <v>361</v>
      </c>
      <c r="C88" s="2" t="s">
        <v>362</v>
      </c>
      <c r="D88" s="2" t="s">
        <v>92</v>
      </c>
      <c r="E88" s="2" t="s">
        <v>93</v>
      </c>
      <c r="F88" s="2" t="s">
        <v>78</v>
      </c>
      <c r="G88" s="2">
        <v>16</v>
      </c>
      <c r="H88" s="2">
        <v>24</v>
      </c>
      <c r="I88" s="4">
        <v>40.331716391727653</v>
      </c>
      <c r="J88" s="4">
        <v>12.822448839805972</v>
      </c>
      <c r="K88" s="2">
        <v>6</v>
      </c>
      <c r="L88" s="4">
        <v>160.69542134381609</v>
      </c>
      <c r="M88" s="4">
        <v>5.8957567674173337</v>
      </c>
      <c r="N88" s="2">
        <v>6</v>
      </c>
      <c r="O88" s="2" t="s">
        <v>95</v>
      </c>
      <c r="P88" s="2" t="s">
        <v>616</v>
      </c>
      <c r="R88" s="2" t="s">
        <v>73</v>
      </c>
      <c r="S88" s="2" t="s">
        <v>73</v>
      </c>
      <c r="T88" s="2" t="s">
        <v>73</v>
      </c>
      <c r="U88" s="2">
        <v>40</v>
      </c>
      <c r="V88" s="2" t="s">
        <v>73</v>
      </c>
      <c r="W88" s="2">
        <v>12</v>
      </c>
      <c r="Y88" s="2" t="s">
        <v>89</v>
      </c>
      <c r="Z88" s="2">
        <v>20</v>
      </c>
      <c r="AA88" s="2" t="s">
        <v>87</v>
      </c>
      <c r="AB88" s="2" t="s">
        <v>116</v>
      </c>
      <c r="AE88" s="2" t="s">
        <v>264</v>
      </c>
      <c r="AF88" s="2" t="s">
        <v>73</v>
      </c>
      <c r="AG88" s="2" t="s">
        <v>363</v>
      </c>
    </row>
    <row r="89" spans="1:33" x14ac:dyDescent="0.2">
      <c r="A89" s="2">
        <v>90</v>
      </c>
      <c r="B89" s="2" t="s">
        <v>361</v>
      </c>
      <c r="C89" s="2" t="s">
        <v>362</v>
      </c>
      <c r="D89" s="2" t="s">
        <v>92</v>
      </c>
      <c r="E89" s="2" t="s">
        <v>93</v>
      </c>
      <c r="F89" s="2" t="s">
        <v>80</v>
      </c>
      <c r="G89" s="2">
        <v>16</v>
      </c>
      <c r="H89" s="2">
        <v>24</v>
      </c>
      <c r="I89" s="4">
        <v>5.5171437912711552</v>
      </c>
      <c r="J89" s="4">
        <v>0.34891570335727018</v>
      </c>
      <c r="K89" s="2">
        <v>6</v>
      </c>
      <c r="L89" s="4">
        <v>6.218946051854422</v>
      </c>
      <c r="M89" s="4">
        <v>3.9671559107623551E-2</v>
      </c>
      <c r="N89" s="2">
        <v>6</v>
      </c>
      <c r="O89" s="2" t="s">
        <v>95</v>
      </c>
      <c r="P89" s="2" t="s">
        <v>616</v>
      </c>
      <c r="R89" s="2" t="s">
        <v>73</v>
      </c>
      <c r="S89" s="2" t="s">
        <v>73</v>
      </c>
      <c r="T89" s="2" t="s">
        <v>73</v>
      </c>
      <c r="U89" s="2">
        <v>40</v>
      </c>
      <c r="V89" s="2" t="s">
        <v>73</v>
      </c>
      <c r="W89" s="2">
        <v>12</v>
      </c>
      <c r="Y89" s="2" t="s">
        <v>89</v>
      </c>
      <c r="Z89" s="2">
        <v>20</v>
      </c>
      <c r="AA89" s="2" t="s">
        <v>87</v>
      </c>
      <c r="AB89" s="2" t="s">
        <v>116</v>
      </c>
      <c r="AE89" s="2" t="s">
        <v>264</v>
      </c>
      <c r="AF89" s="2" t="s">
        <v>73</v>
      </c>
      <c r="AG89" s="2" t="s">
        <v>363</v>
      </c>
    </row>
    <row r="90" spans="1:33" x14ac:dyDescent="0.2">
      <c r="A90" s="2">
        <v>91</v>
      </c>
      <c r="B90" s="2" t="s">
        <v>361</v>
      </c>
      <c r="C90" s="2" t="s">
        <v>364</v>
      </c>
      <c r="D90" s="2" t="s">
        <v>92</v>
      </c>
      <c r="E90" s="2" t="s">
        <v>93</v>
      </c>
      <c r="F90" s="2" t="s">
        <v>78</v>
      </c>
      <c r="G90" s="2">
        <v>19</v>
      </c>
      <c r="H90" s="2">
        <v>24</v>
      </c>
      <c r="I90" s="4">
        <v>96.413118712354702</v>
      </c>
      <c r="J90" s="4">
        <v>68.796044098751494</v>
      </c>
      <c r="K90" s="2">
        <v>6</v>
      </c>
      <c r="L90" s="4">
        <v>205.73327039145843</v>
      </c>
      <c r="M90" s="4">
        <v>1.9621751244360763</v>
      </c>
      <c r="N90" s="2">
        <v>5</v>
      </c>
      <c r="O90" s="2" t="s">
        <v>95</v>
      </c>
      <c r="P90" s="2" t="s">
        <v>616</v>
      </c>
      <c r="R90" s="2" t="s">
        <v>73</v>
      </c>
      <c r="S90" s="2" t="s">
        <v>73</v>
      </c>
      <c r="T90" s="2" t="s">
        <v>73</v>
      </c>
      <c r="U90" s="2">
        <v>40</v>
      </c>
      <c r="V90" s="2" t="s">
        <v>73</v>
      </c>
      <c r="W90" s="2">
        <v>12</v>
      </c>
      <c r="Y90" s="2" t="s">
        <v>89</v>
      </c>
      <c r="Z90" s="2">
        <v>20</v>
      </c>
      <c r="AA90" s="2" t="s">
        <v>87</v>
      </c>
      <c r="AB90" s="2" t="s">
        <v>116</v>
      </c>
      <c r="AE90" s="2" t="s">
        <v>264</v>
      </c>
      <c r="AF90" s="2" t="s">
        <v>73</v>
      </c>
      <c r="AG90" s="2" t="s">
        <v>363</v>
      </c>
    </row>
    <row r="91" spans="1:33" x14ac:dyDescent="0.2">
      <c r="A91" s="2">
        <v>92</v>
      </c>
      <c r="B91" s="2" t="s">
        <v>361</v>
      </c>
      <c r="C91" s="2" t="s">
        <v>364</v>
      </c>
      <c r="D91" s="2" t="s">
        <v>92</v>
      </c>
      <c r="E91" s="2" t="s">
        <v>93</v>
      </c>
      <c r="F91" s="2" t="s">
        <v>80</v>
      </c>
      <c r="G91" s="2">
        <v>19</v>
      </c>
      <c r="H91" s="2">
        <v>24</v>
      </c>
      <c r="I91" s="4">
        <v>5.8593757059668601</v>
      </c>
      <c r="J91" s="4">
        <v>6.6230302871475522E-2</v>
      </c>
      <c r="K91" s="2">
        <v>6</v>
      </c>
      <c r="L91" s="4">
        <v>5.9828380895259636</v>
      </c>
      <c r="M91" s="4">
        <v>0.1568036181894911</v>
      </c>
      <c r="N91" s="2">
        <v>6</v>
      </c>
      <c r="O91" s="2" t="s">
        <v>95</v>
      </c>
      <c r="P91" s="2" t="s">
        <v>616</v>
      </c>
      <c r="R91" s="2" t="s">
        <v>73</v>
      </c>
      <c r="S91" s="2" t="s">
        <v>73</v>
      </c>
      <c r="T91" s="2" t="s">
        <v>73</v>
      </c>
      <c r="U91" s="2">
        <v>40</v>
      </c>
      <c r="V91" s="2" t="s">
        <v>73</v>
      </c>
      <c r="W91" s="2">
        <v>12</v>
      </c>
      <c r="Y91" s="2" t="s">
        <v>89</v>
      </c>
      <c r="Z91" s="2">
        <v>20</v>
      </c>
      <c r="AA91" s="2" t="s">
        <v>87</v>
      </c>
      <c r="AB91" s="2" t="s">
        <v>116</v>
      </c>
      <c r="AE91" s="2" t="s">
        <v>264</v>
      </c>
      <c r="AF91" s="2" t="s">
        <v>73</v>
      </c>
      <c r="AG91" s="2" t="s">
        <v>363</v>
      </c>
    </row>
    <row r="92" spans="1:33" x14ac:dyDescent="0.2">
      <c r="A92" s="2">
        <v>93</v>
      </c>
      <c r="B92" s="2" t="s">
        <v>361</v>
      </c>
      <c r="C92" s="2" t="s">
        <v>365</v>
      </c>
      <c r="D92" s="2" t="s">
        <v>92</v>
      </c>
      <c r="E92" s="2" t="s">
        <v>93</v>
      </c>
      <c r="F92" s="2" t="s">
        <v>80</v>
      </c>
      <c r="G92" s="2">
        <v>16</v>
      </c>
      <c r="H92" s="2">
        <v>19</v>
      </c>
      <c r="I92" s="4">
        <v>6.2066121639444107</v>
      </c>
      <c r="J92" s="4">
        <v>0.42510139051622214</v>
      </c>
      <c r="K92" s="2">
        <v>6</v>
      </c>
      <c r="L92" s="4">
        <v>6.2850017711645334</v>
      </c>
      <c r="M92" s="4">
        <v>4.6848924486576037E-2</v>
      </c>
      <c r="N92" s="2">
        <v>6</v>
      </c>
      <c r="O92" s="2" t="s">
        <v>95</v>
      </c>
      <c r="P92" s="2" t="s">
        <v>616</v>
      </c>
      <c r="R92" s="2" t="s">
        <v>73</v>
      </c>
      <c r="S92" s="2" t="s">
        <v>73</v>
      </c>
      <c r="T92" s="2" t="s">
        <v>73</v>
      </c>
      <c r="U92" s="2">
        <v>40</v>
      </c>
      <c r="V92" s="2" t="s">
        <v>73</v>
      </c>
      <c r="W92" s="2">
        <v>12</v>
      </c>
      <c r="Y92" s="2" t="s">
        <v>89</v>
      </c>
      <c r="Z92" s="2">
        <v>20</v>
      </c>
      <c r="AA92" s="2" t="s">
        <v>87</v>
      </c>
      <c r="AB92" s="2" t="s">
        <v>116</v>
      </c>
      <c r="AE92" s="2" t="s">
        <v>264</v>
      </c>
      <c r="AF92" s="2" t="s">
        <v>73</v>
      </c>
      <c r="AG92" s="2" t="s">
        <v>366</v>
      </c>
    </row>
    <row r="93" spans="1:33" x14ac:dyDescent="0.2">
      <c r="A93" s="2">
        <v>94</v>
      </c>
      <c r="B93" s="2" t="s">
        <v>361</v>
      </c>
      <c r="C93" s="2" t="s">
        <v>367</v>
      </c>
      <c r="D93" s="2" t="s">
        <v>92</v>
      </c>
      <c r="E93" s="2" t="s">
        <v>93</v>
      </c>
      <c r="F93" s="2" t="s">
        <v>78</v>
      </c>
      <c r="G93" s="2">
        <v>19</v>
      </c>
      <c r="H93" s="2">
        <v>24</v>
      </c>
      <c r="I93" s="4">
        <v>185.41900394972319</v>
      </c>
      <c r="J93" s="4">
        <v>0.31649621125424859</v>
      </c>
      <c r="K93" s="2">
        <v>5</v>
      </c>
      <c r="L93" s="4">
        <v>173.35222538532884</v>
      </c>
      <c r="M93" s="4">
        <v>2.9403276563408771</v>
      </c>
      <c r="N93" s="2">
        <v>6</v>
      </c>
      <c r="O93" s="2" t="s">
        <v>95</v>
      </c>
      <c r="P93" s="2" t="s">
        <v>616</v>
      </c>
      <c r="R93" s="2" t="s">
        <v>73</v>
      </c>
      <c r="S93" s="2" t="s">
        <v>73</v>
      </c>
      <c r="T93" s="2" t="s">
        <v>73</v>
      </c>
      <c r="U93" s="2">
        <v>40</v>
      </c>
      <c r="V93" s="2" t="s">
        <v>73</v>
      </c>
      <c r="W93" s="2">
        <v>12</v>
      </c>
      <c r="Y93" s="2" t="s">
        <v>89</v>
      </c>
      <c r="Z93" s="2">
        <v>20</v>
      </c>
      <c r="AA93" s="2" t="s">
        <v>87</v>
      </c>
      <c r="AB93" s="2" t="s">
        <v>116</v>
      </c>
      <c r="AE93" s="2" t="s">
        <v>264</v>
      </c>
      <c r="AF93" s="2" t="s">
        <v>73</v>
      </c>
      <c r="AG93" s="2" t="s">
        <v>363</v>
      </c>
    </row>
    <row r="94" spans="1:33" x14ac:dyDescent="0.2">
      <c r="A94" s="2">
        <v>95</v>
      </c>
      <c r="B94" s="2" t="s">
        <v>361</v>
      </c>
      <c r="C94" s="2" t="s">
        <v>367</v>
      </c>
      <c r="D94" s="2" t="s">
        <v>92</v>
      </c>
      <c r="E94" s="2" t="s">
        <v>93</v>
      </c>
      <c r="F94" s="2" t="s">
        <v>80</v>
      </c>
      <c r="G94" s="2">
        <v>19</v>
      </c>
      <c r="H94" s="2">
        <v>24</v>
      </c>
      <c r="I94" s="4">
        <v>5.8944761297447101</v>
      </c>
      <c r="J94" s="4">
        <v>3.4376988564574301E-2</v>
      </c>
      <c r="K94" s="2">
        <v>5</v>
      </c>
      <c r="L94" s="4">
        <v>5.9634975892102764</v>
      </c>
      <c r="M94" s="4">
        <v>6.0126732280144937E-2</v>
      </c>
      <c r="N94" s="2">
        <v>6</v>
      </c>
      <c r="O94" s="2" t="s">
        <v>95</v>
      </c>
      <c r="P94" s="2" t="s">
        <v>616</v>
      </c>
      <c r="R94" s="2" t="s">
        <v>73</v>
      </c>
      <c r="S94" s="2" t="s">
        <v>73</v>
      </c>
      <c r="T94" s="2" t="s">
        <v>73</v>
      </c>
      <c r="U94" s="2">
        <v>40</v>
      </c>
      <c r="V94" s="2" t="s">
        <v>73</v>
      </c>
      <c r="W94" s="2">
        <v>12</v>
      </c>
      <c r="Y94" s="2" t="s">
        <v>89</v>
      </c>
      <c r="Z94" s="2">
        <v>20</v>
      </c>
      <c r="AA94" s="2" t="s">
        <v>87</v>
      </c>
      <c r="AB94" s="2" t="s">
        <v>116</v>
      </c>
      <c r="AE94" s="2" t="s">
        <v>264</v>
      </c>
      <c r="AF94" s="2" t="s">
        <v>73</v>
      </c>
      <c r="AG94" s="2" t="s">
        <v>363</v>
      </c>
    </row>
    <row r="95" spans="1:33" x14ac:dyDescent="0.2">
      <c r="A95" s="2">
        <v>96</v>
      </c>
      <c r="B95" s="2" t="s">
        <v>361</v>
      </c>
      <c r="C95" s="2" t="s">
        <v>368</v>
      </c>
      <c r="D95" s="2" t="s">
        <v>92</v>
      </c>
      <c r="E95" s="2" t="s">
        <v>93</v>
      </c>
      <c r="F95" s="2" t="s">
        <v>78</v>
      </c>
      <c r="G95" s="2">
        <v>19</v>
      </c>
      <c r="H95" s="2">
        <v>24</v>
      </c>
      <c r="I95" s="4">
        <v>153.54999384716101</v>
      </c>
      <c r="J95" s="4">
        <v>0.17262612390898982</v>
      </c>
      <c r="K95" s="2">
        <v>4</v>
      </c>
      <c r="L95" s="4">
        <v>167.42179832503103</v>
      </c>
      <c r="M95" s="4">
        <v>2.2894476961254364</v>
      </c>
      <c r="N95" s="2">
        <v>6</v>
      </c>
      <c r="O95" s="2" t="s">
        <v>95</v>
      </c>
      <c r="P95" s="2" t="s">
        <v>616</v>
      </c>
      <c r="R95" s="2" t="s">
        <v>73</v>
      </c>
      <c r="S95" s="2" t="s">
        <v>73</v>
      </c>
      <c r="T95" s="2" t="s">
        <v>73</v>
      </c>
      <c r="U95" s="2">
        <v>40</v>
      </c>
      <c r="V95" s="2" t="s">
        <v>73</v>
      </c>
      <c r="W95" s="2">
        <v>12</v>
      </c>
      <c r="Y95" s="2" t="s">
        <v>89</v>
      </c>
      <c r="Z95" s="2">
        <v>20</v>
      </c>
      <c r="AA95" s="2" t="s">
        <v>87</v>
      </c>
      <c r="AB95" s="2" t="s">
        <v>116</v>
      </c>
      <c r="AE95" s="2" t="s">
        <v>264</v>
      </c>
      <c r="AF95" s="2" t="s">
        <v>73</v>
      </c>
      <c r="AG95" s="2" t="s">
        <v>369</v>
      </c>
    </row>
    <row r="96" spans="1:33" x14ac:dyDescent="0.2">
      <c r="A96" s="2">
        <v>97</v>
      </c>
      <c r="B96" s="2" t="s">
        <v>361</v>
      </c>
      <c r="C96" s="2" t="s">
        <v>368</v>
      </c>
      <c r="D96" s="2" t="s">
        <v>92</v>
      </c>
      <c r="E96" s="2" t="s">
        <v>93</v>
      </c>
      <c r="F96" s="2" t="s">
        <v>80</v>
      </c>
      <c r="G96" s="2">
        <v>19</v>
      </c>
      <c r="H96" s="2">
        <v>24</v>
      </c>
      <c r="I96" s="4">
        <v>6.3054339237324646</v>
      </c>
      <c r="J96" s="4">
        <v>0.12178959510662163</v>
      </c>
      <c r="K96" s="2">
        <v>4</v>
      </c>
      <c r="L96" s="4">
        <v>6.7420637558227243</v>
      </c>
      <c r="M96" s="4">
        <v>5.5120537359327947E-2</v>
      </c>
      <c r="N96" s="2">
        <v>6</v>
      </c>
      <c r="O96" s="2" t="s">
        <v>95</v>
      </c>
      <c r="P96" s="2" t="s">
        <v>616</v>
      </c>
      <c r="R96" s="2" t="s">
        <v>73</v>
      </c>
      <c r="S96" s="2" t="s">
        <v>73</v>
      </c>
      <c r="T96" s="2" t="s">
        <v>73</v>
      </c>
      <c r="U96" s="2">
        <v>40</v>
      </c>
      <c r="V96" s="2" t="s">
        <v>73</v>
      </c>
      <c r="W96" s="2">
        <v>12</v>
      </c>
      <c r="Y96" s="2" t="s">
        <v>89</v>
      </c>
      <c r="Z96" s="2">
        <v>20</v>
      </c>
      <c r="AA96" s="2" t="s">
        <v>87</v>
      </c>
      <c r="AB96" s="2" t="s">
        <v>116</v>
      </c>
      <c r="AE96" s="2" t="s">
        <v>264</v>
      </c>
      <c r="AF96" s="2" t="s">
        <v>73</v>
      </c>
      <c r="AG96" s="2" t="s">
        <v>369</v>
      </c>
    </row>
    <row r="97" spans="1:33" x14ac:dyDescent="0.2">
      <c r="A97" s="2">
        <v>98</v>
      </c>
      <c r="B97" s="2" t="s">
        <v>389</v>
      </c>
      <c r="C97" s="2" t="s">
        <v>390</v>
      </c>
      <c r="D97" s="2" t="s">
        <v>70</v>
      </c>
      <c r="E97" s="2" t="s">
        <v>71</v>
      </c>
      <c r="F97" s="2" t="s">
        <v>78</v>
      </c>
      <c r="G97" s="2">
        <v>12.5</v>
      </c>
      <c r="H97" s="2">
        <v>20</v>
      </c>
      <c r="I97" s="4">
        <v>45.45454545454546</v>
      </c>
      <c r="J97" s="4">
        <f>2.06611570247934*SQRT(4)</f>
        <v>4.1322314049586799</v>
      </c>
      <c r="K97" s="2">
        <v>4</v>
      </c>
      <c r="L97" s="4">
        <v>50</v>
      </c>
      <c r="M97" s="4">
        <f>7.5*SQRT(4)</f>
        <v>15</v>
      </c>
      <c r="N97" s="2">
        <v>4</v>
      </c>
      <c r="O97" s="2" t="s">
        <v>95</v>
      </c>
      <c r="P97" s="2" t="s">
        <v>616</v>
      </c>
      <c r="R97" s="2" t="s">
        <v>73</v>
      </c>
      <c r="S97" s="2" t="s">
        <v>73</v>
      </c>
      <c r="T97" s="2" t="s">
        <v>73</v>
      </c>
      <c r="U97" s="2">
        <v>225</v>
      </c>
      <c r="V97" s="2" t="s">
        <v>73</v>
      </c>
      <c r="W97" s="2">
        <v>18</v>
      </c>
      <c r="X97" s="2">
        <v>22.3</v>
      </c>
      <c r="Y97" s="2" t="s">
        <v>98</v>
      </c>
      <c r="Z97" s="2">
        <v>3</v>
      </c>
      <c r="AB97" s="2" t="s">
        <v>116</v>
      </c>
      <c r="AE97" s="2" t="s">
        <v>123</v>
      </c>
      <c r="AF97" s="2" t="s">
        <v>87</v>
      </c>
      <c r="AG97" s="2" t="s">
        <v>391</v>
      </c>
    </row>
    <row r="98" spans="1:33" x14ac:dyDescent="0.2">
      <c r="A98" s="2">
        <v>99</v>
      </c>
      <c r="B98" s="2" t="s">
        <v>389</v>
      </c>
      <c r="C98" s="2" t="s">
        <v>390</v>
      </c>
      <c r="D98" s="2" t="s">
        <v>70</v>
      </c>
      <c r="E98" s="2" t="s">
        <v>71</v>
      </c>
      <c r="F98" s="2" t="s">
        <v>80</v>
      </c>
      <c r="G98" s="2">
        <v>12.5</v>
      </c>
      <c r="H98" s="2">
        <v>20</v>
      </c>
      <c r="I98" s="4">
        <v>6.2893081761006284</v>
      </c>
      <c r="J98" s="4">
        <f>0.0791107946679325*SQRT(4)</f>
        <v>0.158221589335865</v>
      </c>
      <c r="K98" s="2">
        <v>4</v>
      </c>
      <c r="L98" s="4">
        <v>6.2893081761006284</v>
      </c>
      <c r="M98" s="4">
        <f>0.118666192001899*SQRT(4)</f>
        <v>0.237332384003798</v>
      </c>
      <c r="N98" s="2">
        <v>4</v>
      </c>
      <c r="O98" s="2" t="s">
        <v>95</v>
      </c>
      <c r="P98" s="2" t="s">
        <v>616</v>
      </c>
      <c r="R98" s="2" t="s">
        <v>73</v>
      </c>
      <c r="S98" s="2" t="s">
        <v>73</v>
      </c>
      <c r="T98" s="2" t="s">
        <v>73</v>
      </c>
      <c r="U98" s="2">
        <v>225</v>
      </c>
      <c r="V98" s="2" t="s">
        <v>73</v>
      </c>
      <c r="W98" s="2">
        <v>18</v>
      </c>
      <c r="X98" s="2">
        <v>22.3</v>
      </c>
      <c r="Y98" s="2" t="s">
        <v>98</v>
      </c>
      <c r="Z98" s="2">
        <v>3</v>
      </c>
      <c r="AB98" s="2" t="s">
        <v>116</v>
      </c>
      <c r="AE98" s="2" t="s">
        <v>123</v>
      </c>
      <c r="AF98" s="2" t="s">
        <v>87</v>
      </c>
      <c r="AG98" s="2" t="s">
        <v>391</v>
      </c>
    </row>
    <row r="99" spans="1:33" x14ac:dyDescent="0.2">
      <c r="A99" s="2">
        <v>100</v>
      </c>
      <c r="B99" s="2" t="s">
        <v>389</v>
      </c>
      <c r="C99" s="2" t="s">
        <v>390</v>
      </c>
      <c r="D99" s="2" t="s">
        <v>70</v>
      </c>
      <c r="E99" s="2" t="s">
        <v>71</v>
      </c>
      <c r="F99" s="2" t="s">
        <v>78</v>
      </c>
      <c r="G99" s="2">
        <v>12.5</v>
      </c>
      <c r="H99" s="2">
        <v>20</v>
      </c>
      <c r="I99" s="4">
        <v>47.619047619047613</v>
      </c>
      <c r="J99" s="4">
        <f>2.26757369614512*SQRT(4)</f>
        <v>4.5351473922902397</v>
      </c>
      <c r="K99" s="2">
        <v>4</v>
      </c>
      <c r="L99" s="4">
        <v>40</v>
      </c>
      <c r="M99" s="4">
        <f>1.6*SQRT(4)</f>
        <v>3.2</v>
      </c>
      <c r="N99" s="2">
        <v>4</v>
      </c>
      <c r="O99" s="2" t="s">
        <v>95</v>
      </c>
      <c r="P99" s="2" t="s">
        <v>616</v>
      </c>
      <c r="R99" s="2" t="s">
        <v>73</v>
      </c>
      <c r="S99" s="2" t="s">
        <v>73</v>
      </c>
      <c r="T99" s="2" t="s">
        <v>73</v>
      </c>
      <c r="U99" s="2">
        <v>225</v>
      </c>
      <c r="V99" s="2" t="s">
        <v>73</v>
      </c>
      <c r="W99" s="2">
        <v>18</v>
      </c>
      <c r="X99" s="2">
        <v>28.8</v>
      </c>
      <c r="Y99" s="2" t="s">
        <v>98</v>
      </c>
      <c r="Z99" s="2">
        <v>3</v>
      </c>
      <c r="AB99" s="2" t="s">
        <v>116</v>
      </c>
      <c r="AE99" s="2" t="s">
        <v>123</v>
      </c>
      <c r="AF99" s="2" t="s">
        <v>87</v>
      </c>
      <c r="AG99" s="2" t="s">
        <v>392</v>
      </c>
    </row>
    <row r="100" spans="1:33" x14ac:dyDescent="0.2">
      <c r="A100" s="2">
        <v>101</v>
      </c>
      <c r="B100" s="2" t="s">
        <v>389</v>
      </c>
      <c r="C100" s="2" t="s">
        <v>390</v>
      </c>
      <c r="D100" s="2" t="s">
        <v>70</v>
      </c>
      <c r="E100" s="2" t="s">
        <v>71</v>
      </c>
      <c r="F100" s="2" t="s">
        <v>80</v>
      </c>
      <c r="G100" s="2">
        <v>12.5</v>
      </c>
      <c r="H100" s="2">
        <v>20</v>
      </c>
      <c r="I100" s="4">
        <v>5.9880239520958076</v>
      </c>
      <c r="J100" s="4">
        <f>0.0717128617017463*SQRT(4)</f>
        <v>0.14342572340349261</v>
      </c>
      <c r="K100" s="2">
        <v>4</v>
      </c>
      <c r="L100" s="4">
        <v>6.5359477124183005</v>
      </c>
      <c r="M100" s="4">
        <f>0.128155837498398*SQRT(4)</f>
        <v>0.25631167499679602</v>
      </c>
      <c r="N100" s="2">
        <v>4</v>
      </c>
      <c r="O100" s="2" t="s">
        <v>95</v>
      </c>
      <c r="P100" s="2" t="s">
        <v>616</v>
      </c>
      <c r="R100" s="2" t="s">
        <v>73</v>
      </c>
      <c r="S100" s="2" t="s">
        <v>73</v>
      </c>
      <c r="T100" s="2" t="s">
        <v>73</v>
      </c>
      <c r="U100" s="2">
        <v>225</v>
      </c>
      <c r="V100" s="2" t="s">
        <v>73</v>
      </c>
      <c r="W100" s="2">
        <v>18</v>
      </c>
      <c r="X100" s="2">
        <v>28.8</v>
      </c>
      <c r="Y100" s="2" t="s">
        <v>98</v>
      </c>
      <c r="Z100" s="2">
        <v>3</v>
      </c>
      <c r="AB100" s="2" t="s">
        <v>116</v>
      </c>
      <c r="AE100" s="2" t="s">
        <v>123</v>
      </c>
      <c r="AF100" s="2" t="s">
        <v>87</v>
      </c>
      <c r="AG100" s="2" t="s">
        <v>392</v>
      </c>
    </row>
    <row r="101" spans="1:33" x14ac:dyDescent="0.2">
      <c r="A101" s="2">
        <v>102</v>
      </c>
      <c r="B101" s="2" t="s">
        <v>389</v>
      </c>
      <c r="C101" s="2" t="s">
        <v>390</v>
      </c>
      <c r="D101" s="2" t="s">
        <v>70</v>
      </c>
      <c r="E101" s="2" t="s">
        <v>71</v>
      </c>
      <c r="F101" s="2" t="s">
        <v>78</v>
      </c>
      <c r="G101" s="2">
        <v>12.5</v>
      </c>
      <c r="H101" s="2">
        <v>22.5</v>
      </c>
      <c r="I101" s="4">
        <v>33.333333333333336</v>
      </c>
      <c r="J101" s="4">
        <f>3.33333333333334*SQRT(4)</f>
        <v>6.6666666666666803</v>
      </c>
      <c r="K101" s="2">
        <v>4</v>
      </c>
      <c r="L101" s="4">
        <v>34.482758620689651</v>
      </c>
      <c r="M101" s="4">
        <f>3.56718192627824*SQRT(4)</f>
        <v>7.1343638525564801</v>
      </c>
      <c r="N101" s="2">
        <v>4</v>
      </c>
      <c r="O101" s="2" t="s">
        <v>95</v>
      </c>
      <c r="P101" s="2" t="s">
        <v>616</v>
      </c>
      <c r="R101" s="2" t="s">
        <v>73</v>
      </c>
      <c r="S101" s="2" t="s">
        <v>73</v>
      </c>
      <c r="T101" s="2" t="s">
        <v>73</v>
      </c>
      <c r="U101" s="2">
        <v>225</v>
      </c>
      <c r="V101" s="2" t="s">
        <v>73</v>
      </c>
      <c r="W101" s="2">
        <v>18</v>
      </c>
      <c r="X101" s="2">
        <v>34</v>
      </c>
      <c r="Y101" s="2" t="s">
        <v>98</v>
      </c>
      <c r="Z101" s="2">
        <v>3</v>
      </c>
      <c r="AB101" s="2" t="s">
        <v>116</v>
      </c>
      <c r="AE101" s="2" t="s">
        <v>123</v>
      </c>
      <c r="AF101" s="2" t="s">
        <v>87</v>
      </c>
      <c r="AG101" s="2" t="s">
        <v>393</v>
      </c>
    </row>
    <row r="102" spans="1:33" x14ac:dyDescent="0.2">
      <c r="A102" s="2">
        <v>103</v>
      </c>
      <c r="B102" s="2" t="s">
        <v>389</v>
      </c>
      <c r="C102" s="2" t="s">
        <v>390</v>
      </c>
      <c r="D102" s="2" t="s">
        <v>70</v>
      </c>
      <c r="E102" s="2" t="s">
        <v>71</v>
      </c>
      <c r="F102" s="2" t="s">
        <v>80</v>
      </c>
      <c r="G102" s="2">
        <v>12.5</v>
      </c>
      <c r="H102" s="2">
        <v>22.5</v>
      </c>
      <c r="I102" s="4">
        <v>6.1349693251533743</v>
      </c>
      <c r="J102" s="4">
        <f>0.0752756972411458*SQRT(4)</f>
        <v>0.1505513944822916</v>
      </c>
      <c r="K102" s="2">
        <v>4</v>
      </c>
      <c r="L102" s="4">
        <v>6.756756756756757</v>
      </c>
      <c r="M102" s="4">
        <f>0.136961285609934*SQRT(4)</f>
        <v>0.27392257121986802</v>
      </c>
      <c r="N102" s="2">
        <v>4</v>
      </c>
      <c r="O102" s="2" t="s">
        <v>95</v>
      </c>
      <c r="P102" s="2" t="s">
        <v>616</v>
      </c>
      <c r="R102" s="2" t="s">
        <v>73</v>
      </c>
      <c r="S102" s="2" t="s">
        <v>73</v>
      </c>
      <c r="T102" s="2" t="s">
        <v>73</v>
      </c>
      <c r="U102" s="2">
        <v>225</v>
      </c>
      <c r="V102" s="2" t="s">
        <v>73</v>
      </c>
      <c r="W102" s="2">
        <v>18</v>
      </c>
      <c r="X102" s="2">
        <v>34</v>
      </c>
      <c r="Y102" s="2" t="s">
        <v>98</v>
      </c>
      <c r="Z102" s="2">
        <v>3</v>
      </c>
      <c r="AB102" s="2" t="s">
        <v>116</v>
      </c>
      <c r="AE102" s="2" t="s">
        <v>123</v>
      </c>
      <c r="AF102" s="2" t="s">
        <v>87</v>
      </c>
      <c r="AG102" s="2" t="s">
        <v>393</v>
      </c>
    </row>
    <row r="103" spans="1:33" x14ac:dyDescent="0.2">
      <c r="A103" s="2">
        <v>104</v>
      </c>
      <c r="B103" s="2" t="s">
        <v>402</v>
      </c>
      <c r="C103" s="2" t="s">
        <v>403</v>
      </c>
      <c r="D103" s="2" t="s">
        <v>70</v>
      </c>
      <c r="E103" s="2" t="s">
        <v>71</v>
      </c>
      <c r="F103" s="2" t="s">
        <v>78</v>
      </c>
      <c r="G103" s="2">
        <v>7</v>
      </c>
      <c r="H103" s="2">
        <v>20</v>
      </c>
      <c r="I103" s="4">
        <v>29.411764705882351</v>
      </c>
      <c r="J103" s="4">
        <f>1.73010380622837*SQRT(2)</f>
        <v>2.4467362670814743</v>
      </c>
      <c r="K103" s="2">
        <v>2</v>
      </c>
      <c r="L103" s="4">
        <v>55.555555555555557</v>
      </c>
      <c r="M103" s="4">
        <f>3.08641975308642*SQRT(2)</f>
        <v>4.3648566739910351</v>
      </c>
      <c r="N103" s="2">
        <v>2</v>
      </c>
      <c r="O103" s="2" t="s">
        <v>95</v>
      </c>
      <c r="P103" s="2" t="s">
        <v>616</v>
      </c>
      <c r="R103" s="2" t="s">
        <v>73</v>
      </c>
      <c r="S103" s="2" t="s">
        <v>73</v>
      </c>
      <c r="T103" s="2" t="s">
        <v>73</v>
      </c>
      <c r="U103" s="2">
        <v>255</v>
      </c>
      <c r="V103" s="2" t="s">
        <v>73</v>
      </c>
      <c r="W103" s="2">
        <v>18</v>
      </c>
      <c r="X103" s="2">
        <v>10</v>
      </c>
      <c r="Y103" s="2" t="s">
        <v>98</v>
      </c>
      <c r="Z103" s="2">
        <v>3</v>
      </c>
      <c r="AB103" s="2" t="s">
        <v>116</v>
      </c>
      <c r="AE103" s="2" t="s">
        <v>189</v>
      </c>
      <c r="AF103" s="2" t="s">
        <v>87</v>
      </c>
      <c r="AG103" s="2" t="s">
        <v>405</v>
      </c>
    </row>
    <row r="104" spans="1:33" x14ac:dyDescent="0.2">
      <c r="A104" s="2">
        <v>105</v>
      </c>
      <c r="B104" s="2" t="s">
        <v>402</v>
      </c>
      <c r="C104" s="2" t="s">
        <v>403</v>
      </c>
      <c r="D104" s="2" t="s">
        <v>70</v>
      </c>
      <c r="E104" s="2" t="s">
        <v>71</v>
      </c>
      <c r="F104" s="2" t="s">
        <v>80</v>
      </c>
      <c r="G104" s="2">
        <v>7</v>
      </c>
      <c r="H104" s="2">
        <v>20</v>
      </c>
      <c r="I104" s="4">
        <v>5.376344086021505</v>
      </c>
      <c r="J104" s="4">
        <f>0.115620302925194*SQRT(2)</f>
        <v>0.163511800482495</v>
      </c>
      <c r="K104" s="2">
        <v>2</v>
      </c>
      <c r="L104" s="4">
        <v>5.1020408163265305</v>
      </c>
      <c r="M104" s="4">
        <f>0.28633902540608*SQRT(2)</f>
        <v>0.40494453316597262</v>
      </c>
      <c r="N104" s="2">
        <v>2</v>
      </c>
      <c r="O104" s="2" t="s">
        <v>95</v>
      </c>
      <c r="P104" s="2" t="s">
        <v>616</v>
      </c>
      <c r="R104" s="2" t="s">
        <v>73</v>
      </c>
      <c r="S104" s="2" t="s">
        <v>73</v>
      </c>
      <c r="T104" s="2" t="s">
        <v>73</v>
      </c>
      <c r="U104" s="2">
        <v>255</v>
      </c>
      <c r="V104" s="2" t="s">
        <v>73</v>
      </c>
      <c r="W104" s="2">
        <v>18</v>
      </c>
      <c r="X104" s="2">
        <v>10</v>
      </c>
      <c r="Y104" s="2" t="s">
        <v>98</v>
      </c>
      <c r="Z104" s="2">
        <v>3</v>
      </c>
      <c r="AB104" s="2" t="s">
        <v>116</v>
      </c>
      <c r="AE104" s="2" t="s">
        <v>189</v>
      </c>
      <c r="AF104" s="2" t="s">
        <v>87</v>
      </c>
      <c r="AG104" s="2" t="s">
        <v>405</v>
      </c>
    </row>
    <row r="105" spans="1:33" x14ac:dyDescent="0.2">
      <c r="A105" s="2">
        <v>106</v>
      </c>
      <c r="B105" s="2" t="s">
        <v>402</v>
      </c>
      <c r="C105" s="2" t="s">
        <v>403</v>
      </c>
      <c r="D105" s="2" t="s">
        <v>70</v>
      </c>
      <c r="E105" s="2" t="s">
        <v>71</v>
      </c>
      <c r="F105" s="2" t="s">
        <v>78</v>
      </c>
      <c r="G105" s="2">
        <v>7</v>
      </c>
      <c r="H105" s="2">
        <v>20</v>
      </c>
      <c r="I105" s="4">
        <v>37.037037037037038</v>
      </c>
      <c r="J105" s="4">
        <f>1.37174211248285*SQRT(2)</f>
        <v>1.9399362995515661</v>
      </c>
      <c r="K105" s="2">
        <v>2</v>
      </c>
      <c r="L105" s="4">
        <v>43.478260869565219</v>
      </c>
      <c r="M105" s="4">
        <f>3.78071833648394*SQRT(2)</f>
        <v>5.3467431469682349</v>
      </c>
      <c r="N105" s="2">
        <v>2</v>
      </c>
      <c r="O105" s="2" t="s">
        <v>95</v>
      </c>
      <c r="P105" s="2" t="s">
        <v>616</v>
      </c>
      <c r="R105" s="2" t="s">
        <v>73</v>
      </c>
      <c r="S105" s="2" t="s">
        <v>73</v>
      </c>
      <c r="T105" s="2" t="s">
        <v>73</v>
      </c>
      <c r="U105" s="2">
        <v>255</v>
      </c>
      <c r="V105" s="2" t="s">
        <v>73</v>
      </c>
      <c r="W105" s="2">
        <v>18</v>
      </c>
      <c r="X105" s="2">
        <v>24</v>
      </c>
      <c r="Y105" s="2" t="s">
        <v>98</v>
      </c>
      <c r="Z105" s="2">
        <v>3</v>
      </c>
      <c r="AB105" s="2" t="s">
        <v>116</v>
      </c>
      <c r="AE105" s="2" t="s">
        <v>189</v>
      </c>
      <c r="AF105" s="2" t="s">
        <v>87</v>
      </c>
      <c r="AG105" s="2" t="s">
        <v>406</v>
      </c>
    </row>
    <row r="106" spans="1:33" x14ac:dyDescent="0.2">
      <c r="A106" s="2">
        <v>107</v>
      </c>
      <c r="B106" s="2" t="s">
        <v>402</v>
      </c>
      <c r="C106" s="2" t="s">
        <v>403</v>
      </c>
      <c r="D106" s="2" t="s">
        <v>70</v>
      </c>
      <c r="E106" s="2" t="s">
        <v>71</v>
      </c>
      <c r="F106" s="2" t="s">
        <v>80</v>
      </c>
      <c r="G106" s="2">
        <v>7</v>
      </c>
      <c r="H106" s="2">
        <v>20</v>
      </c>
      <c r="I106" s="4">
        <v>5.1546391752577314</v>
      </c>
      <c r="J106" s="4">
        <f>0.265703050271017*SQRT(2)</f>
        <v>0.37576085725717251</v>
      </c>
      <c r="K106" s="2">
        <v>2</v>
      </c>
      <c r="L106" s="4">
        <v>4.716981132075472</v>
      </c>
      <c r="M106" s="4">
        <f>0.155749377002492*SQRT(2)</f>
        <v>0.22026288128808444</v>
      </c>
      <c r="N106" s="2">
        <v>2</v>
      </c>
      <c r="O106" s="2" t="s">
        <v>95</v>
      </c>
      <c r="P106" s="2" t="s">
        <v>616</v>
      </c>
      <c r="R106" s="2" t="s">
        <v>73</v>
      </c>
      <c r="S106" s="2" t="s">
        <v>73</v>
      </c>
      <c r="T106" s="2" t="s">
        <v>73</v>
      </c>
      <c r="U106" s="2">
        <v>255</v>
      </c>
      <c r="V106" s="2" t="s">
        <v>73</v>
      </c>
      <c r="W106" s="2">
        <v>18</v>
      </c>
      <c r="X106" s="2">
        <v>24</v>
      </c>
      <c r="Y106" s="2" t="s">
        <v>98</v>
      </c>
      <c r="Z106" s="2">
        <v>3</v>
      </c>
      <c r="AB106" s="2" t="s">
        <v>116</v>
      </c>
      <c r="AE106" s="2" t="s">
        <v>189</v>
      </c>
      <c r="AF106" s="2" t="s">
        <v>87</v>
      </c>
      <c r="AG106" s="2" t="s">
        <v>406</v>
      </c>
    </row>
    <row r="107" spans="1:33" x14ac:dyDescent="0.2">
      <c r="A107" s="2">
        <v>108</v>
      </c>
      <c r="B107" s="2" t="s">
        <v>402</v>
      </c>
      <c r="C107" s="2" t="s">
        <v>403</v>
      </c>
      <c r="D107" s="2" t="s">
        <v>70</v>
      </c>
      <c r="E107" s="2" t="s">
        <v>71</v>
      </c>
      <c r="F107" s="2" t="s">
        <v>78</v>
      </c>
      <c r="G107" s="2">
        <v>7</v>
      </c>
      <c r="H107" s="2">
        <v>20</v>
      </c>
      <c r="I107" s="4">
        <v>40</v>
      </c>
      <c r="J107" s="4">
        <f>1.6*SQRT(2)</f>
        <v>2.2627416997969525</v>
      </c>
      <c r="K107" s="2">
        <v>2</v>
      </c>
      <c r="L107" s="4">
        <v>43.478260869565219</v>
      </c>
      <c r="M107" s="4">
        <f>1.89035916824197*SQRT(2)</f>
        <v>2.6733715734841175</v>
      </c>
      <c r="N107" s="2">
        <v>2</v>
      </c>
      <c r="O107" s="2" t="s">
        <v>95</v>
      </c>
      <c r="P107" s="2" t="s">
        <v>616</v>
      </c>
      <c r="R107" s="2" t="s">
        <v>73</v>
      </c>
      <c r="S107" s="2" t="s">
        <v>73</v>
      </c>
      <c r="T107" s="2" t="s">
        <v>73</v>
      </c>
      <c r="U107" s="2">
        <v>255</v>
      </c>
      <c r="V107" s="2" t="s">
        <v>73</v>
      </c>
      <c r="W107" s="2">
        <v>18</v>
      </c>
      <c r="X107" s="2">
        <v>34</v>
      </c>
      <c r="Y107" s="2" t="s">
        <v>98</v>
      </c>
      <c r="Z107" s="2">
        <v>3</v>
      </c>
      <c r="AB107" s="2" t="s">
        <v>116</v>
      </c>
      <c r="AE107" s="2" t="s">
        <v>189</v>
      </c>
      <c r="AF107" s="2" t="s">
        <v>87</v>
      </c>
      <c r="AG107" s="2" t="s">
        <v>407</v>
      </c>
    </row>
    <row r="108" spans="1:33" x14ac:dyDescent="0.2">
      <c r="A108" s="2">
        <v>109</v>
      </c>
      <c r="B108" s="2" t="s">
        <v>402</v>
      </c>
      <c r="C108" s="2" t="s">
        <v>403</v>
      </c>
      <c r="D108" s="2" t="s">
        <v>70</v>
      </c>
      <c r="E108" s="2" t="s">
        <v>71</v>
      </c>
      <c r="F108" s="2" t="s">
        <v>80</v>
      </c>
      <c r="G108" s="2">
        <v>7</v>
      </c>
      <c r="H108" s="2">
        <v>20</v>
      </c>
      <c r="I108" s="4">
        <v>4.7846889952153111</v>
      </c>
      <c r="J108" s="4">
        <f>0.045786497561869*SQRT(2)</f>
        <v>6.4751885825557798E-2</v>
      </c>
      <c r="K108" s="2">
        <v>2</v>
      </c>
      <c r="L108" s="4">
        <v>4.8780487804878048</v>
      </c>
      <c r="M108" s="4">
        <f>0.190362879238549*SQRT(2)</f>
        <v>0.26921376559154769</v>
      </c>
      <c r="N108" s="2">
        <v>2</v>
      </c>
      <c r="O108" s="2" t="s">
        <v>95</v>
      </c>
      <c r="P108" s="2" t="s">
        <v>616</v>
      </c>
      <c r="R108" s="2" t="s">
        <v>73</v>
      </c>
      <c r="S108" s="2" t="s">
        <v>73</v>
      </c>
      <c r="T108" s="2" t="s">
        <v>73</v>
      </c>
      <c r="U108" s="2">
        <v>255</v>
      </c>
      <c r="V108" s="2" t="s">
        <v>73</v>
      </c>
      <c r="W108" s="2">
        <v>18</v>
      </c>
      <c r="X108" s="2">
        <v>34</v>
      </c>
      <c r="Y108" s="2" t="s">
        <v>98</v>
      </c>
      <c r="Z108" s="2">
        <v>3</v>
      </c>
      <c r="AB108" s="2" t="s">
        <v>116</v>
      </c>
      <c r="AE108" s="2" t="s">
        <v>189</v>
      </c>
      <c r="AF108" s="2" t="s">
        <v>87</v>
      </c>
      <c r="AG108" s="2" t="s">
        <v>407</v>
      </c>
    </row>
    <row r="109" spans="1:33" x14ac:dyDescent="0.2">
      <c r="A109" s="2">
        <v>110</v>
      </c>
      <c r="B109" s="2" t="s">
        <v>418</v>
      </c>
      <c r="C109" s="2" t="s">
        <v>237</v>
      </c>
      <c r="D109" s="2" t="s">
        <v>84</v>
      </c>
      <c r="E109" s="2" t="s">
        <v>85</v>
      </c>
      <c r="F109" s="2" t="s">
        <v>80</v>
      </c>
      <c r="G109" s="2">
        <v>10</v>
      </c>
      <c r="H109" s="2">
        <v>15</v>
      </c>
      <c r="I109" s="4">
        <f>(7.2/12)*14</f>
        <v>8.4</v>
      </c>
      <c r="J109" s="4">
        <f>0.2/12*14*SQRT(4)</f>
        <v>0.46666666666666667</v>
      </c>
      <c r="K109" s="2">
        <v>4</v>
      </c>
      <c r="L109" s="4">
        <v>8.4</v>
      </c>
      <c r="M109" s="4">
        <v>0.32998316455372223</v>
      </c>
      <c r="N109" s="2">
        <v>4</v>
      </c>
      <c r="O109" s="2" t="s">
        <v>75</v>
      </c>
      <c r="P109" s="2" t="s">
        <v>34</v>
      </c>
      <c r="R109" s="2" t="s">
        <v>73</v>
      </c>
      <c r="S109" s="2" t="s">
        <v>73</v>
      </c>
      <c r="T109" s="2" t="s">
        <v>73</v>
      </c>
      <c r="U109" s="2">
        <v>35</v>
      </c>
      <c r="V109" s="2" t="s">
        <v>87</v>
      </c>
      <c r="W109" s="2">
        <v>14</v>
      </c>
      <c r="X109" s="2">
        <v>33</v>
      </c>
      <c r="Y109" s="2" t="s">
        <v>98</v>
      </c>
      <c r="Z109" s="2">
        <v>8</v>
      </c>
      <c r="AB109" s="2" t="s">
        <v>116</v>
      </c>
      <c r="AE109" s="2" t="s">
        <v>104</v>
      </c>
      <c r="AF109" s="2" t="s">
        <v>73</v>
      </c>
      <c r="AG109" s="2" t="s">
        <v>419</v>
      </c>
    </row>
    <row r="110" spans="1:33" x14ac:dyDescent="0.2">
      <c r="A110" s="2">
        <v>111</v>
      </c>
      <c r="B110" s="2" t="s">
        <v>418</v>
      </c>
      <c r="C110" s="2" t="s">
        <v>237</v>
      </c>
      <c r="D110" s="2" t="s">
        <v>84</v>
      </c>
      <c r="E110" s="2" t="s">
        <v>85</v>
      </c>
      <c r="F110" s="2" t="s">
        <v>80</v>
      </c>
      <c r="G110" s="2">
        <v>15</v>
      </c>
      <c r="H110" s="2">
        <v>20</v>
      </c>
      <c r="I110" s="4">
        <f>5.6/12*14</f>
        <v>6.5333333333333323</v>
      </c>
      <c r="J110" s="4">
        <f>0.2/12*14*SQRT(4)</f>
        <v>0.46666666666666667</v>
      </c>
      <c r="K110" s="2">
        <v>4</v>
      </c>
      <c r="L110" s="4">
        <f>6/12*14</f>
        <v>7</v>
      </c>
      <c r="M110" s="4">
        <f>0.1/12*14*SQRT(4)</f>
        <v>0.23333333333333334</v>
      </c>
      <c r="N110" s="2">
        <v>4</v>
      </c>
      <c r="O110" s="2" t="s">
        <v>75</v>
      </c>
      <c r="P110" s="2" t="s">
        <v>34</v>
      </c>
      <c r="R110" s="2" t="s">
        <v>73</v>
      </c>
      <c r="S110" s="2" t="s">
        <v>73</v>
      </c>
      <c r="T110" s="2" t="s">
        <v>73</v>
      </c>
      <c r="U110" s="2">
        <v>35</v>
      </c>
      <c r="V110" s="2" t="s">
        <v>87</v>
      </c>
      <c r="W110" s="2">
        <v>14</v>
      </c>
      <c r="X110" s="2">
        <v>33</v>
      </c>
      <c r="Y110" s="2" t="s">
        <v>98</v>
      </c>
      <c r="Z110" s="2">
        <v>8</v>
      </c>
      <c r="AB110" s="2" t="s">
        <v>116</v>
      </c>
      <c r="AE110" s="2" t="s">
        <v>104</v>
      </c>
      <c r="AF110" s="2" t="s">
        <v>73</v>
      </c>
      <c r="AG110" s="2" t="s">
        <v>420</v>
      </c>
    </row>
    <row r="111" spans="1:33" x14ac:dyDescent="0.2">
      <c r="A111" s="2">
        <v>112</v>
      </c>
      <c r="B111" s="2" t="s">
        <v>435</v>
      </c>
      <c r="C111" s="2" t="s">
        <v>436</v>
      </c>
      <c r="D111" s="2" t="s">
        <v>84</v>
      </c>
      <c r="E111" s="2" t="s">
        <v>85</v>
      </c>
      <c r="F111" s="2" t="s">
        <v>78</v>
      </c>
      <c r="G111" s="2">
        <v>16</v>
      </c>
      <c r="H111" s="2">
        <v>20</v>
      </c>
      <c r="I111" s="4">
        <v>94.541339999999991</v>
      </c>
      <c r="J111" s="4">
        <v>5.5291938968583878</v>
      </c>
      <c r="K111" s="2">
        <v>3</v>
      </c>
      <c r="L111" s="4">
        <v>139.5009</v>
      </c>
      <c r="M111" s="4">
        <v>22.965777205913348</v>
      </c>
      <c r="N111" s="2">
        <v>3</v>
      </c>
      <c r="O111" s="2" t="s">
        <v>75</v>
      </c>
      <c r="P111" s="2" t="s">
        <v>616</v>
      </c>
      <c r="R111" s="2" t="s">
        <v>73</v>
      </c>
      <c r="S111" s="2" t="s">
        <v>87</v>
      </c>
      <c r="T111" s="2" t="s">
        <v>73</v>
      </c>
      <c r="U111" s="2">
        <v>120</v>
      </c>
      <c r="V111" s="2" t="s">
        <v>73</v>
      </c>
      <c r="W111" s="2">
        <v>12</v>
      </c>
      <c r="X111" s="2">
        <v>35</v>
      </c>
      <c r="Y111" s="2" t="s">
        <v>89</v>
      </c>
      <c r="AB111" s="2" t="s">
        <v>116</v>
      </c>
      <c r="AC111" s="2">
        <v>400</v>
      </c>
      <c r="AE111" s="2" t="s">
        <v>437</v>
      </c>
      <c r="AF111" s="2" t="s">
        <v>87</v>
      </c>
      <c r="AG111" s="2" t="s">
        <v>438</v>
      </c>
    </row>
    <row r="112" spans="1:33" x14ac:dyDescent="0.2">
      <c r="A112" s="2">
        <v>113</v>
      </c>
      <c r="B112" s="2" t="s">
        <v>435</v>
      </c>
      <c r="C112" s="2" t="s">
        <v>436</v>
      </c>
      <c r="D112" s="2" t="s">
        <v>84</v>
      </c>
      <c r="E112" s="2" t="s">
        <v>85</v>
      </c>
      <c r="F112" s="2" t="s">
        <v>80</v>
      </c>
      <c r="G112" s="2">
        <v>16</v>
      </c>
      <c r="H112" s="2">
        <v>20</v>
      </c>
      <c r="I112" s="4">
        <v>9.6519999999999992</v>
      </c>
      <c r="J112" s="4">
        <v>0.504</v>
      </c>
      <c r="K112" s="2">
        <v>3</v>
      </c>
      <c r="L112" s="4">
        <v>9.9</v>
      </c>
      <c r="M112" s="4">
        <v>1.5229999999999999</v>
      </c>
      <c r="N112" s="2">
        <v>3</v>
      </c>
      <c r="O112" s="2" t="s">
        <v>75</v>
      </c>
      <c r="P112" s="2" t="s">
        <v>616</v>
      </c>
      <c r="R112" s="2" t="s">
        <v>73</v>
      </c>
      <c r="S112" s="2" t="s">
        <v>87</v>
      </c>
      <c r="T112" s="2" t="s">
        <v>73</v>
      </c>
      <c r="U112" s="2">
        <v>120</v>
      </c>
      <c r="V112" s="2" t="s">
        <v>73</v>
      </c>
      <c r="W112" s="2">
        <v>12</v>
      </c>
      <c r="X112" s="2">
        <v>35</v>
      </c>
      <c r="Y112" s="2" t="s">
        <v>89</v>
      </c>
      <c r="AB112" s="2" t="s">
        <v>116</v>
      </c>
      <c r="AC112" s="2">
        <v>400</v>
      </c>
      <c r="AE112" s="2" t="s">
        <v>437</v>
      </c>
      <c r="AF112" s="2" t="s">
        <v>87</v>
      </c>
      <c r="AG112" s="2" t="s">
        <v>438</v>
      </c>
    </row>
    <row r="113" spans="1:33" x14ac:dyDescent="0.2">
      <c r="A113" s="2">
        <v>114</v>
      </c>
      <c r="B113" s="2" t="s">
        <v>435</v>
      </c>
      <c r="C113" s="2" t="s">
        <v>436</v>
      </c>
      <c r="D113" s="2" t="s">
        <v>84</v>
      </c>
      <c r="E113" s="2" t="s">
        <v>85</v>
      </c>
      <c r="F113" s="2" t="s">
        <v>78</v>
      </c>
      <c r="G113" s="2">
        <v>16</v>
      </c>
      <c r="H113" s="2">
        <v>20</v>
      </c>
      <c r="I113" s="4">
        <v>83.051460000000006</v>
      </c>
      <c r="J113" s="4">
        <v>13.373013407798414</v>
      </c>
      <c r="K113" s="2">
        <v>3</v>
      </c>
      <c r="L113" s="4">
        <v>117.08938899999998</v>
      </c>
      <c r="M113" s="4">
        <v>17.097566068909366</v>
      </c>
      <c r="N113" s="2">
        <v>3</v>
      </c>
      <c r="O113" s="2" t="s">
        <v>75</v>
      </c>
      <c r="P113" s="2" t="s">
        <v>616</v>
      </c>
      <c r="R113" s="2" t="s">
        <v>73</v>
      </c>
      <c r="S113" s="2" t="s">
        <v>73</v>
      </c>
      <c r="T113" s="2" t="s">
        <v>73</v>
      </c>
      <c r="U113" s="2">
        <v>120</v>
      </c>
      <c r="V113" s="2" t="s">
        <v>73</v>
      </c>
      <c r="W113" s="2">
        <v>12</v>
      </c>
      <c r="X113" s="2">
        <v>35</v>
      </c>
      <c r="Y113" s="2" t="s">
        <v>89</v>
      </c>
      <c r="AB113" s="2" t="s">
        <v>116</v>
      </c>
      <c r="AC113" s="2">
        <v>400</v>
      </c>
      <c r="AE113" s="2" t="s">
        <v>437</v>
      </c>
      <c r="AF113" s="2" t="s">
        <v>87</v>
      </c>
      <c r="AG113" s="2" t="s">
        <v>439</v>
      </c>
    </row>
    <row r="114" spans="1:33" x14ac:dyDescent="0.2">
      <c r="A114" s="2">
        <v>115</v>
      </c>
      <c r="B114" s="2" t="s">
        <v>435</v>
      </c>
      <c r="C114" s="2" t="s">
        <v>436</v>
      </c>
      <c r="D114" s="2" t="s">
        <v>84</v>
      </c>
      <c r="E114" s="2" t="s">
        <v>85</v>
      </c>
      <c r="F114" s="2" t="s">
        <v>80</v>
      </c>
      <c r="G114" s="2">
        <v>16</v>
      </c>
      <c r="H114" s="2">
        <v>20</v>
      </c>
      <c r="I114" s="4">
        <v>7.4119999999999999</v>
      </c>
      <c r="J114" s="4">
        <v>0.23799999999999999</v>
      </c>
      <c r="K114" s="2">
        <v>3</v>
      </c>
      <c r="L114" s="4">
        <v>8.9469999999999992</v>
      </c>
      <c r="M114" s="4">
        <v>0.36</v>
      </c>
      <c r="N114" s="2">
        <v>3</v>
      </c>
      <c r="O114" s="2" t="s">
        <v>75</v>
      </c>
      <c r="P114" s="2" t="s">
        <v>616</v>
      </c>
      <c r="R114" s="2" t="s">
        <v>73</v>
      </c>
      <c r="S114" s="2" t="s">
        <v>73</v>
      </c>
      <c r="T114" s="2" t="s">
        <v>73</v>
      </c>
      <c r="U114" s="2">
        <v>120</v>
      </c>
      <c r="V114" s="2" t="s">
        <v>73</v>
      </c>
      <c r="W114" s="2">
        <v>12</v>
      </c>
      <c r="X114" s="2">
        <v>35</v>
      </c>
      <c r="Y114" s="2" t="s">
        <v>89</v>
      </c>
      <c r="AB114" s="2" t="s">
        <v>116</v>
      </c>
      <c r="AC114" s="2">
        <v>400</v>
      </c>
      <c r="AE114" s="2" t="s">
        <v>437</v>
      </c>
      <c r="AF114" s="2" t="s">
        <v>87</v>
      </c>
      <c r="AG114" s="2" t="s">
        <v>439</v>
      </c>
    </row>
    <row r="115" spans="1:33" x14ac:dyDescent="0.2">
      <c r="A115" s="2">
        <v>116</v>
      </c>
      <c r="B115" s="2" t="s">
        <v>435</v>
      </c>
      <c r="C115" s="2" t="s">
        <v>436</v>
      </c>
      <c r="D115" s="2" t="s">
        <v>84</v>
      </c>
      <c r="E115" s="2" t="s">
        <v>85</v>
      </c>
      <c r="F115" s="2" t="s">
        <v>78</v>
      </c>
      <c r="G115" s="2">
        <v>16</v>
      </c>
      <c r="H115" s="2">
        <v>20</v>
      </c>
      <c r="I115" s="4">
        <v>70.073166000000001</v>
      </c>
      <c r="J115" s="4">
        <v>4.9501825239646351</v>
      </c>
      <c r="K115" s="2">
        <v>3</v>
      </c>
      <c r="L115" s="4">
        <v>114.138276</v>
      </c>
      <c r="M115" s="4">
        <v>12.577382072175157</v>
      </c>
      <c r="N115" s="2">
        <v>3</v>
      </c>
      <c r="O115" s="2" t="s">
        <v>75</v>
      </c>
      <c r="P115" s="2" t="s">
        <v>616</v>
      </c>
      <c r="R115" s="2" t="s">
        <v>73</v>
      </c>
      <c r="S115" s="2" t="s">
        <v>73</v>
      </c>
      <c r="T115" s="2" t="s">
        <v>73</v>
      </c>
      <c r="U115" s="2">
        <v>120</v>
      </c>
      <c r="V115" s="2" t="s">
        <v>73</v>
      </c>
      <c r="W115" s="2">
        <v>12</v>
      </c>
      <c r="X115" s="2">
        <v>35</v>
      </c>
      <c r="Y115" s="2" t="s">
        <v>89</v>
      </c>
      <c r="AB115" s="2" t="s">
        <v>116</v>
      </c>
      <c r="AC115" s="2">
        <v>400</v>
      </c>
      <c r="AE115" s="2" t="s">
        <v>437</v>
      </c>
      <c r="AF115" s="2" t="s">
        <v>87</v>
      </c>
      <c r="AG115" s="2" t="s">
        <v>440</v>
      </c>
    </row>
    <row r="116" spans="1:33" x14ac:dyDescent="0.2">
      <c r="A116" s="2">
        <v>117</v>
      </c>
      <c r="B116" s="2" t="s">
        <v>435</v>
      </c>
      <c r="C116" s="2" t="s">
        <v>436</v>
      </c>
      <c r="D116" s="2" t="s">
        <v>84</v>
      </c>
      <c r="E116" s="2" t="s">
        <v>85</v>
      </c>
      <c r="F116" s="2" t="s">
        <v>80</v>
      </c>
      <c r="G116" s="2">
        <v>16</v>
      </c>
      <c r="H116" s="2">
        <v>20</v>
      </c>
      <c r="I116" s="4">
        <v>7.3129999999999997</v>
      </c>
      <c r="J116" s="4">
        <v>0.187</v>
      </c>
      <c r="K116" s="2">
        <v>3</v>
      </c>
      <c r="L116" s="4">
        <v>7.5910000000000002</v>
      </c>
      <c r="M116" s="4">
        <v>0.247</v>
      </c>
      <c r="N116" s="2">
        <v>3</v>
      </c>
      <c r="O116" s="2" t="s">
        <v>75</v>
      </c>
      <c r="P116" s="2" t="s">
        <v>616</v>
      </c>
      <c r="R116" s="2" t="s">
        <v>73</v>
      </c>
      <c r="S116" s="2" t="s">
        <v>73</v>
      </c>
      <c r="T116" s="2" t="s">
        <v>73</v>
      </c>
      <c r="U116" s="2">
        <v>120</v>
      </c>
      <c r="V116" s="2" t="s">
        <v>73</v>
      </c>
      <c r="W116" s="2">
        <v>12</v>
      </c>
      <c r="X116" s="2">
        <v>35</v>
      </c>
      <c r="Y116" s="2" t="s">
        <v>89</v>
      </c>
      <c r="AB116" s="2" t="s">
        <v>116</v>
      </c>
      <c r="AC116" s="2">
        <v>400</v>
      </c>
      <c r="AE116" s="2" t="s">
        <v>437</v>
      </c>
      <c r="AF116" s="2" t="s">
        <v>87</v>
      </c>
      <c r="AG116" s="2" t="s">
        <v>440</v>
      </c>
    </row>
    <row r="117" spans="1:33" x14ac:dyDescent="0.2">
      <c r="A117" s="2">
        <v>118</v>
      </c>
      <c r="B117" s="2" t="s">
        <v>435</v>
      </c>
      <c r="C117" s="2" t="s">
        <v>436</v>
      </c>
      <c r="D117" s="2" t="s">
        <v>84</v>
      </c>
      <c r="E117" s="2" t="s">
        <v>85</v>
      </c>
      <c r="F117" s="2" t="s">
        <v>78</v>
      </c>
      <c r="G117" s="2">
        <v>16</v>
      </c>
      <c r="H117" s="2">
        <v>20</v>
      </c>
      <c r="I117" s="4">
        <v>104.51236799999998</v>
      </c>
      <c r="J117" s="4">
        <v>21.964567204904384</v>
      </c>
      <c r="K117" s="2">
        <v>3</v>
      </c>
      <c r="L117" s="4">
        <v>142.06707</v>
      </c>
      <c r="M117" s="4">
        <v>14.971715669779631</v>
      </c>
      <c r="N117" s="2">
        <v>3</v>
      </c>
      <c r="O117" s="2" t="s">
        <v>75</v>
      </c>
      <c r="P117" s="2" t="s">
        <v>616</v>
      </c>
      <c r="R117" s="2" t="s">
        <v>73</v>
      </c>
      <c r="S117" s="2" t="s">
        <v>87</v>
      </c>
      <c r="T117" s="2" t="s">
        <v>73</v>
      </c>
      <c r="U117" s="2">
        <v>120</v>
      </c>
      <c r="V117" s="2" t="s">
        <v>73</v>
      </c>
      <c r="W117" s="2">
        <v>12</v>
      </c>
      <c r="X117" s="2">
        <v>35</v>
      </c>
      <c r="Y117" s="2" t="s">
        <v>89</v>
      </c>
      <c r="AB117" s="2" t="s">
        <v>116</v>
      </c>
      <c r="AC117" s="2">
        <v>800</v>
      </c>
      <c r="AE117" s="2" t="s">
        <v>437</v>
      </c>
      <c r="AF117" s="2" t="s">
        <v>87</v>
      </c>
      <c r="AG117" s="2" t="s">
        <v>441</v>
      </c>
    </row>
    <row r="118" spans="1:33" x14ac:dyDescent="0.2">
      <c r="A118" s="2">
        <v>119</v>
      </c>
      <c r="B118" s="2" t="s">
        <v>435</v>
      </c>
      <c r="C118" s="2" t="s">
        <v>436</v>
      </c>
      <c r="D118" s="2" t="s">
        <v>84</v>
      </c>
      <c r="E118" s="2" t="s">
        <v>85</v>
      </c>
      <c r="F118" s="2" t="s">
        <v>80</v>
      </c>
      <c r="G118" s="2">
        <v>16</v>
      </c>
      <c r="H118" s="2">
        <v>20</v>
      </c>
      <c r="I118" s="4">
        <v>9.4529999999999994</v>
      </c>
      <c r="J118" s="4">
        <v>1.28</v>
      </c>
      <c r="K118" s="2">
        <v>3</v>
      </c>
      <c r="L118" s="4">
        <v>10.77</v>
      </c>
      <c r="M118" s="4">
        <v>1.0249999999999999</v>
      </c>
      <c r="N118" s="2">
        <v>3</v>
      </c>
      <c r="O118" s="2" t="s">
        <v>75</v>
      </c>
      <c r="P118" s="2" t="s">
        <v>616</v>
      </c>
      <c r="R118" s="2" t="s">
        <v>73</v>
      </c>
      <c r="S118" s="2" t="s">
        <v>87</v>
      </c>
      <c r="T118" s="2" t="s">
        <v>73</v>
      </c>
      <c r="U118" s="2">
        <v>120</v>
      </c>
      <c r="V118" s="2" t="s">
        <v>73</v>
      </c>
      <c r="W118" s="2">
        <v>12</v>
      </c>
      <c r="X118" s="2">
        <v>35</v>
      </c>
      <c r="Y118" s="2" t="s">
        <v>89</v>
      </c>
      <c r="AB118" s="2" t="s">
        <v>116</v>
      </c>
      <c r="AC118" s="2">
        <v>800</v>
      </c>
      <c r="AE118" s="2" t="s">
        <v>437</v>
      </c>
      <c r="AF118" s="2" t="s">
        <v>87</v>
      </c>
      <c r="AG118" s="2" t="s">
        <v>441</v>
      </c>
    </row>
    <row r="119" spans="1:33" x14ac:dyDescent="0.2">
      <c r="A119" s="2">
        <v>120</v>
      </c>
      <c r="B119" s="2" t="s">
        <v>435</v>
      </c>
      <c r="C119" s="2" t="s">
        <v>436</v>
      </c>
      <c r="D119" s="2" t="s">
        <v>84</v>
      </c>
      <c r="E119" s="2" t="s">
        <v>85</v>
      </c>
      <c r="F119" s="2" t="s">
        <v>78</v>
      </c>
      <c r="G119" s="2">
        <v>16</v>
      </c>
      <c r="H119" s="2">
        <v>20</v>
      </c>
      <c r="I119" s="4">
        <v>89.642895999999993</v>
      </c>
      <c r="J119" s="4">
        <v>13.679430872274187</v>
      </c>
      <c r="K119" s="2">
        <v>3</v>
      </c>
      <c r="L119" s="4">
        <v>116.79460400000001</v>
      </c>
      <c r="M119" s="4">
        <v>13.208908017246875</v>
      </c>
      <c r="N119" s="2">
        <v>3</v>
      </c>
      <c r="O119" s="2" t="s">
        <v>75</v>
      </c>
      <c r="P119" s="2" t="s">
        <v>616</v>
      </c>
      <c r="R119" s="2" t="s">
        <v>73</v>
      </c>
      <c r="S119" s="2" t="s">
        <v>73</v>
      </c>
      <c r="T119" s="2" t="s">
        <v>73</v>
      </c>
      <c r="U119" s="2">
        <v>120</v>
      </c>
      <c r="V119" s="2" t="s">
        <v>73</v>
      </c>
      <c r="W119" s="2">
        <v>12</v>
      </c>
      <c r="X119" s="2">
        <v>35</v>
      </c>
      <c r="Y119" s="2" t="s">
        <v>89</v>
      </c>
      <c r="AB119" s="2" t="s">
        <v>116</v>
      </c>
      <c r="AC119" s="2">
        <v>800</v>
      </c>
      <c r="AE119" s="2" t="s">
        <v>437</v>
      </c>
      <c r="AF119" s="2" t="s">
        <v>87</v>
      </c>
      <c r="AG119" s="2" t="s">
        <v>442</v>
      </c>
    </row>
    <row r="120" spans="1:33" x14ac:dyDescent="0.2">
      <c r="A120" s="2">
        <v>121</v>
      </c>
      <c r="B120" s="2" t="s">
        <v>435</v>
      </c>
      <c r="C120" s="2" t="s">
        <v>436</v>
      </c>
      <c r="D120" s="2" t="s">
        <v>84</v>
      </c>
      <c r="E120" s="2" t="s">
        <v>85</v>
      </c>
      <c r="F120" s="2" t="s">
        <v>80</v>
      </c>
      <c r="G120" s="2">
        <v>16</v>
      </c>
      <c r="H120" s="2">
        <v>20</v>
      </c>
      <c r="I120" s="4">
        <v>7.952</v>
      </c>
      <c r="J120" s="4">
        <v>0.84399999999999997</v>
      </c>
      <c r="K120" s="2">
        <v>3</v>
      </c>
      <c r="L120" s="4">
        <v>7.7240000000000002</v>
      </c>
      <c r="M120" s="4">
        <v>0.435</v>
      </c>
      <c r="N120" s="2">
        <v>3</v>
      </c>
      <c r="O120" s="2" t="s">
        <v>75</v>
      </c>
      <c r="P120" s="2" t="s">
        <v>616</v>
      </c>
      <c r="R120" s="2" t="s">
        <v>73</v>
      </c>
      <c r="S120" s="2" t="s">
        <v>73</v>
      </c>
      <c r="T120" s="2" t="s">
        <v>73</v>
      </c>
      <c r="U120" s="2">
        <v>120</v>
      </c>
      <c r="V120" s="2" t="s">
        <v>73</v>
      </c>
      <c r="W120" s="2">
        <v>12</v>
      </c>
      <c r="X120" s="2">
        <v>35</v>
      </c>
      <c r="Y120" s="2" t="s">
        <v>89</v>
      </c>
      <c r="AB120" s="2" t="s">
        <v>116</v>
      </c>
      <c r="AC120" s="2">
        <v>800</v>
      </c>
      <c r="AE120" s="2" t="s">
        <v>437</v>
      </c>
      <c r="AF120" s="2" t="s">
        <v>87</v>
      </c>
      <c r="AG120" s="2" t="s">
        <v>442</v>
      </c>
    </row>
    <row r="121" spans="1:33" x14ac:dyDescent="0.2">
      <c r="A121" s="2">
        <v>122</v>
      </c>
      <c r="B121" s="2" t="s">
        <v>435</v>
      </c>
      <c r="C121" s="2" t="s">
        <v>436</v>
      </c>
      <c r="D121" s="2" t="s">
        <v>84</v>
      </c>
      <c r="E121" s="2" t="s">
        <v>85</v>
      </c>
      <c r="F121" s="2" t="s">
        <v>78</v>
      </c>
      <c r="G121" s="2">
        <v>16</v>
      </c>
      <c r="H121" s="2">
        <v>20</v>
      </c>
      <c r="I121" s="4">
        <v>89.474735999999993</v>
      </c>
      <c r="J121" s="4">
        <v>7.0539040200000001</v>
      </c>
      <c r="K121" s="2">
        <v>3</v>
      </c>
      <c r="L121" s="4">
        <v>127.36484100000001</v>
      </c>
      <c r="M121" s="4">
        <v>31.350318675921699</v>
      </c>
      <c r="N121" s="2">
        <v>3</v>
      </c>
      <c r="O121" s="2" t="s">
        <v>75</v>
      </c>
      <c r="P121" s="2" t="s">
        <v>616</v>
      </c>
      <c r="R121" s="2" t="s">
        <v>73</v>
      </c>
      <c r="S121" s="2" t="s">
        <v>73</v>
      </c>
      <c r="T121" s="2" t="s">
        <v>73</v>
      </c>
      <c r="U121" s="2">
        <v>120</v>
      </c>
      <c r="V121" s="2" t="s">
        <v>73</v>
      </c>
      <c r="W121" s="2">
        <v>12</v>
      </c>
      <c r="X121" s="2">
        <v>35</v>
      </c>
      <c r="Y121" s="2" t="s">
        <v>89</v>
      </c>
      <c r="AB121" s="2" t="s">
        <v>116</v>
      </c>
      <c r="AC121" s="2">
        <v>800</v>
      </c>
      <c r="AE121" s="2" t="s">
        <v>437</v>
      </c>
      <c r="AF121" s="2" t="s">
        <v>87</v>
      </c>
      <c r="AG121" s="2" t="s">
        <v>443</v>
      </c>
    </row>
    <row r="122" spans="1:33" x14ac:dyDescent="0.2">
      <c r="A122" s="2">
        <v>123</v>
      </c>
      <c r="B122" s="2" t="s">
        <v>435</v>
      </c>
      <c r="C122" s="2" t="s">
        <v>436</v>
      </c>
      <c r="D122" s="2" t="s">
        <v>84</v>
      </c>
      <c r="E122" s="2" t="s">
        <v>85</v>
      </c>
      <c r="F122" s="2" t="s">
        <v>80</v>
      </c>
      <c r="G122" s="2">
        <v>16</v>
      </c>
      <c r="H122" s="2">
        <v>20</v>
      </c>
      <c r="I122" s="4">
        <v>7.7160000000000002</v>
      </c>
      <c r="J122" s="4">
        <v>0.41599999999999998</v>
      </c>
      <c r="K122" s="2">
        <v>3</v>
      </c>
      <c r="L122" s="4">
        <v>7.8810000000000002</v>
      </c>
      <c r="M122" s="4">
        <v>0.45700000000000002</v>
      </c>
      <c r="N122" s="2">
        <v>3</v>
      </c>
      <c r="O122" s="2" t="s">
        <v>75</v>
      </c>
      <c r="P122" s="2" t="s">
        <v>616</v>
      </c>
      <c r="R122" s="2" t="s">
        <v>73</v>
      </c>
      <c r="S122" s="2" t="s">
        <v>73</v>
      </c>
      <c r="T122" s="2" t="s">
        <v>73</v>
      </c>
      <c r="U122" s="2">
        <v>120</v>
      </c>
      <c r="V122" s="2" t="s">
        <v>73</v>
      </c>
      <c r="W122" s="2">
        <v>12</v>
      </c>
      <c r="X122" s="2">
        <v>35</v>
      </c>
      <c r="Y122" s="2" t="s">
        <v>89</v>
      </c>
      <c r="AB122" s="2" t="s">
        <v>116</v>
      </c>
      <c r="AC122" s="2">
        <v>800</v>
      </c>
      <c r="AE122" s="2" t="s">
        <v>437</v>
      </c>
      <c r="AF122" s="2" t="s">
        <v>87</v>
      </c>
      <c r="AG122" s="2" t="s">
        <v>443</v>
      </c>
    </row>
    <row r="123" spans="1:33" x14ac:dyDescent="0.2">
      <c r="A123" s="2">
        <v>124</v>
      </c>
      <c r="B123" s="2" t="s">
        <v>461</v>
      </c>
      <c r="C123" s="2" t="s">
        <v>83</v>
      </c>
      <c r="D123" s="2" t="s">
        <v>84</v>
      </c>
      <c r="E123" s="2" t="s">
        <v>85</v>
      </c>
      <c r="F123" s="2" t="s">
        <v>78</v>
      </c>
      <c r="G123" s="2">
        <v>10</v>
      </c>
      <c r="H123" s="2">
        <v>20</v>
      </c>
      <c r="I123" s="4">
        <v>253</v>
      </c>
      <c r="J123" s="4">
        <v>67</v>
      </c>
      <c r="K123" s="2">
        <v>3</v>
      </c>
      <c r="L123" s="4">
        <v>207</v>
      </c>
      <c r="M123" s="4">
        <v>17</v>
      </c>
      <c r="N123" s="2">
        <v>3</v>
      </c>
      <c r="O123" s="2" t="s">
        <v>95</v>
      </c>
      <c r="P123" s="2" t="s">
        <v>616</v>
      </c>
      <c r="R123" s="2" t="s">
        <v>87</v>
      </c>
      <c r="S123" s="2" t="s">
        <v>87</v>
      </c>
      <c r="T123" s="2" t="s">
        <v>87</v>
      </c>
      <c r="U123" s="2">
        <v>100</v>
      </c>
      <c r="V123" s="2" t="s">
        <v>73</v>
      </c>
      <c r="W123" s="2">
        <v>16</v>
      </c>
      <c r="X123" s="2">
        <v>35</v>
      </c>
      <c r="Y123" s="2" t="s">
        <v>98</v>
      </c>
      <c r="AB123" s="2" t="s">
        <v>116</v>
      </c>
      <c r="AE123" s="2" t="s">
        <v>235</v>
      </c>
      <c r="AF123" s="2" t="s">
        <v>73</v>
      </c>
      <c r="AG123" s="2" t="s">
        <v>462</v>
      </c>
    </row>
    <row r="124" spans="1:33" x14ac:dyDescent="0.2">
      <c r="A124" s="2">
        <v>125</v>
      </c>
      <c r="B124" s="2" t="s">
        <v>461</v>
      </c>
      <c r="C124" s="2" t="s">
        <v>83</v>
      </c>
      <c r="D124" s="2" t="s">
        <v>84</v>
      </c>
      <c r="E124" s="2" t="s">
        <v>85</v>
      </c>
      <c r="F124" s="2" t="s">
        <v>80</v>
      </c>
      <c r="G124" s="2">
        <v>10</v>
      </c>
      <c r="H124" s="2">
        <v>20</v>
      </c>
      <c r="I124" s="4">
        <v>20</v>
      </c>
      <c r="J124" s="4">
        <v>1.21</v>
      </c>
      <c r="K124" s="2">
        <v>3</v>
      </c>
      <c r="L124" s="4">
        <v>25</v>
      </c>
      <c r="M124" s="4">
        <v>4.9400000000000004</v>
      </c>
      <c r="N124" s="2">
        <v>3</v>
      </c>
      <c r="O124" s="2" t="s">
        <v>95</v>
      </c>
      <c r="P124" s="2" t="s">
        <v>616</v>
      </c>
      <c r="R124" s="2" t="s">
        <v>87</v>
      </c>
      <c r="S124" s="2" t="s">
        <v>87</v>
      </c>
      <c r="T124" s="2" t="s">
        <v>87</v>
      </c>
      <c r="U124" s="2">
        <v>100</v>
      </c>
      <c r="V124" s="2" t="s">
        <v>73</v>
      </c>
      <c r="W124" s="2">
        <v>16</v>
      </c>
      <c r="X124" s="2">
        <v>35</v>
      </c>
      <c r="Y124" s="2" t="s">
        <v>98</v>
      </c>
      <c r="AB124" s="2" t="s">
        <v>116</v>
      </c>
      <c r="AE124" s="2" t="s">
        <v>235</v>
      </c>
      <c r="AF124" s="2" t="s">
        <v>73</v>
      </c>
      <c r="AG124" s="2" t="s">
        <v>462</v>
      </c>
    </row>
    <row r="125" spans="1:33" x14ac:dyDescent="0.2">
      <c r="A125" s="2">
        <v>126</v>
      </c>
      <c r="B125" s="2" t="s">
        <v>461</v>
      </c>
      <c r="C125" s="2" t="s">
        <v>83</v>
      </c>
      <c r="D125" s="2" t="s">
        <v>84</v>
      </c>
      <c r="E125" s="2" t="s">
        <v>85</v>
      </c>
      <c r="F125" s="2" t="s">
        <v>78</v>
      </c>
      <c r="G125" s="2">
        <v>10</v>
      </c>
      <c r="H125" s="2">
        <v>20</v>
      </c>
      <c r="I125" s="4">
        <v>22</v>
      </c>
      <c r="J125" s="4">
        <v>6</v>
      </c>
      <c r="K125" s="2">
        <v>3</v>
      </c>
      <c r="L125" s="4">
        <v>78</v>
      </c>
      <c r="M125" s="4">
        <v>3.47</v>
      </c>
      <c r="N125" s="2">
        <v>3</v>
      </c>
      <c r="O125" s="2" t="s">
        <v>95</v>
      </c>
      <c r="P125" s="2" t="s">
        <v>616</v>
      </c>
      <c r="R125" s="2" t="s">
        <v>73</v>
      </c>
      <c r="S125" s="2" t="s">
        <v>73</v>
      </c>
      <c r="T125" s="2" t="s">
        <v>73</v>
      </c>
      <c r="U125" s="2">
        <v>100</v>
      </c>
      <c r="V125" s="2" t="s">
        <v>73</v>
      </c>
      <c r="W125" s="2">
        <v>16</v>
      </c>
      <c r="X125" s="2">
        <v>35</v>
      </c>
      <c r="Y125" s="2" t="s">
        <v>98</v>
      </c>
      <c r="AB125" s="2" t="s">
        <v>116</v>
      </c>
      <c r="AE125" s="2" t="s">
        <v>235</v>
      </c>
      <c r="AF125" s="2" t="s">
        <v>73</v>
      </c>
      <c r="AG125" s="2" t="s">
        <v>463</v>
      </c>
    </row>
    <row r="126" spans="1:33" x14ac:dyDescent="0.2">
      <c r="A126" s="2">
        <v>127</v>
      </c>
      <c r="B126" s="2" t="s">
        <v>461</v>
      </c>
      <c r="C126" s="2" t="s">
        <v>83</v>
      </c>
      <c r="D126" s="2" t="s">
        <v>84</v>
      </c>
      <c r="E126" s="2" t="s">
        <v>85</v>
      </c>
      <c r="F126" s="2" t="s">
        <v>80</v>
      </c>
      <c r="G126" s="2">
        <v>10</v>
      </c>
      <c r="H126" s="2">
        <v>20</v>
      </c>
      <c r="I126" s="4">
        <v>16</v>
      </c>
      <c r="J126" s="4">
        <v>2.4</v>
      </c>
      <c r="K126" s="2">
        <v>3</v>
      </c>
      <c r="L126" s="4">
        <v>11</v>
      </c>
      <c r="M126" s="4">
        <v>0.77</v>
      </c>
      <c r="N126" s="2">
        <v>3</v>
      </c>
      <c r="O126" s="2" t="s">
        <v>95</v>
      </c>
      <c r="P126" s="2" t="s">
        <v>616</v>
      </c>
      <c r="R126" s="2" t="s">
        <v>73</v>
      </c>
      <c r="S126" s="2" t="s">
        <v>73</v>
      </c>
      <c r="T126" s="2" t="s">
        <v>73</v>
      </c>
      <c r="U126" s="2">
        <v>100</v>
      </c>
      <c r="V126" s="2" t="s">
        <v>73</v>
      </c>
      <c r="W126" s="2">
        <v>16</v>
      </c>
      <c r="X126" s="2">
        <v>35</v>
      </c>
      <c r="Y126" s="2" t="s">
        <v>98</v>
      </c>
      <c r="AB126" s="2" t="s">
        <v>116</v>
      </c>
      <c r="AE126" s="2" t="s">
        <v>235</v>
      </c>
      <c r="AF126" s="2" t="s">
        <v>73</v>
      </c>
      <c r="AG126" s="2" t="s">
        <v>463</v>
      </c>
    </row>
    <row r="127" spans="1:33" x14ac:dyDescent="0.2">
      <c r="A127" s="2">
        <v>128</v>
      </c>
      <c r="B127" s="2" t="s">
        <v>461</v>
      </c>
      <c r="C127" s="2" t="s">
        <v>464</v>
      </c>
      <c r="D127" s="2" t="s">
        <v>84</v>
      </c>
      <c r="E127" s="2" t="s">
        <v>85</v>
      </c>
      <c r="F127" s="2" t="s">
        <v>78</v>
      </c>
      <c r="G127" s="2">
        <v>10</v>
      </c>
      <c r="H127" s="2">
        <v>20</v>
      </c>
      <c r="I127" s="4">
        <v>117</v>
      </c>
      <c r="J127" s="4">
        <v>41</v>
      </c>
      <c r="K127" s="2">
        <v>3</v>
      </c>
      <c r="L127" s="4">
        <v>136</v>
      </c>
      <c r="M127" s="4">
        <v>15</v>
      </c>
      <c r="N127" s="2">
        <v>3</v>
      </c>
      <c r="O127" s="2" t="s">
        <v>95</v>
      </c>
      <c r="P127" s="2" t="s">
        <v>616</v>
      </c>
      <c r="R127" s="2" t="s">
        <v>87</v>
      </c>
      <c r="S127" s="2" t="s">
        <v>87</v>
      </c>
      <c r="T127" s="2" t="s">
        <v>87</v>
      </c>
      <c r="U127" s="2">
        <v>100</v>
      </c>
      <c r="V127" s="2" t="s">
        <v>73</v>
      </c>
      <c r="W127" s="2">
        <v>16</v>
      </c>
      <c r="X127" s="2">
        <v>35</v>
      </c>
      <c r="Y127" s="2" t="s">
        <v>98</v>
      </c>
      <c r="AB127" s="2" t="s">
        <v>116</v>
      </c>
      <c r="AE127" s="2" t="s">
        <v>235</v>
      </c>
      <c r="AF127" s="2" t="s">
        <v>73</v>
      </c>
      <c r="AG127" s="2" t="s">
        <v>462</v>
      </c>
    </row>
    <row r="128" spans="1:33" x14ac:dyDescent="0.2">
      <c r="A128" s="2">
        <v>129</v>
      </c>
      <c r="B128" s="2" t="s">
        <v>461</v>
      </c>
      <c r="C128" s="2" t="s">
        <v>464</v>
      </c>
      <c r="D128" s="2" t="s">
        <v>84</v>
      </c>
      <c r="E128" s="2" t="s">
        <v>85</v>
      </c>
      <c r="F128" s="2" t="s">
        <v>80</v>
      </c>
      <c r="G128" s="2">
        <v>10</v>
      </c>
      <c r="H128" s="2">
        <v>20</v>
      </c>
      <c r="I128" s="4">
        <v>18</v>
      </c>
      <c r="J128" s="4">
        <v>1.1100000000000001</v>
      </c>
      <c r="K128" s="2">
        <v>3</v>
      </c>
      <c r="L128" s="4">
        <v>18</v>
      </c>
      <c r="M128" s="4">
        <v>1.33</v>
      </c>
      <c r="N128" s="2">
        <v>3</v>
      </c>
      <c r="O128" s="2" t="s">
        <v>95</v>
      </c>
      <c r="P128" s="2" t="s">
        <v>616</v>
      </c>
      <c r="R128" s="2" t="s">
        <v>87</v>
      </c>
      <c r="S128" s="2" t="s">
        <v>87</v>
      </c>
      <c r="T128" s="2" t="s">
        <v>87</v>
      </c>
      <c r="U128" s="2">
        <v>100</v>
      </c>
      <c r="V128" s="2" t="s">
        <v>73</v>
      </c>
      <c r="W128" s="2">
        <v>16</v>
      </c>
      <c r="X128" s="2">
        <v>35</v>
      </c>
      <c r="Y128" s="2" t="s">
        <v>98</v>
      </c>
      <c r="AB128" s="2" t="s">
        <v>116</v>
      </c>
      <c r="AE128" s="2" t="s">
        <v>235</v>
      </c>
      <c r="AF128" s="2" t="s">
        <v>73</v>
      </c>
      <c r="AG128" s="2" t="s">
        <v>462</v>
      </c>
    </row>
    <row r="129" spans="1:33" x14ac:dyDescent="0.2">
      <c r="A129" s="2">
        <v>130</v>
      </c>
      <c r="B129" s="2" t="s">
        <v>461</v>
      </c>
      <c r="C129" s="2" t="s">
        <v>464</v>
      </c>
      <c r="D129" s="2" t="s">
        <v>84</v>
      </c>
      <c r="E129" s="2" t="s">
        <v>85</v>
      </c>
      <c r="F129" s="2" t="s">
        <v>78</v>
      </c>
      <c r="G129" s="2">
        <v>10</v>
      </c>
      <c r="H129" s="2">
        <v>20</v>
      </c>
      <c r="I129" s="4">
        <v>17</v>
      </c>
      <c r="J129" s="4">
        <v>1.28</v>
      </c>
      <c r="K129" s="2">
        <v>3</v>
      </c>
      <c r="L129" s="4">
        <v>26</v>
      </c>
      <c r="M129" s="4">
        <v>7</v>
      </c>
      <c r="N129" s="2">
        <v>3</v>
      </c>
      <c r="O129" s="2" t="s">
        <v>95</v>
      </c>
      <c r="P129" s="2" t="s">
        <v>616</v>
      </c>
      <c r="R129" s="2" t="s">
        <v>73</v>
      </c>
      <c r="S129" s="2" t="s">
        <v>73</v>
      </c>
      <c r="T129" s="2" t="s">
        <v>73</v>
      </c>
      <c r="U129" s="2">
        <v>100</v>
      </c>
      <c r="V129" s="2" t="s">
        <v>73</v>
      </c>
      <c r="W129" s="2">
        <v>16</v>
      </c>
      <c r="X129" s="2">
        <v>35</v>
      </c>
      <c r="Y129" s="2" t="s">
        <v>98</v>
      </c>
      <c r="AB129" s="2" t="s">
        <v>116</v>
      </c>
      <c r="AE129" s="2" t="s">
        <v>235</v>
      </c>
      <c r="AF129" s="2" t="s">
        <v>73</v>
      </c>
      <c r="AG129" s="2" t="s">
        <v>463</v>
      </c>
    </row>
    <row r="130" spans="1:33" x14ac:dyDescent="0.2">
      <c r="A130" s="2">
        <v>131</v>
      </c>
      <c r="B130" s="2" t="s">
        <v>461</v>
      </c>
      <c r="C130" s="2" t="s">
        <v>464</v>
      </c>
      <c r="D130" s="2" t="s">
        <v>84</v>
      </c>
      <c r="E130" s="2" t="s">
        <v>85</v>
      </c>
      <c r="F130" s="2" t="s">
        <v>80</v>
      </c>
      <c r="G130" s="2">
        <v>10</v>
      </c>
      <c r="H130" s="2">
        <v>20</v>
      </c>
      <c r="I130" s="4">
        <v>12</v>
      </c>
      <c r="J130" s="4">
        <v>2.68</v>
      </c>
      <c r="K130" s="2">
        <v>3</v>
      </c>
      <c r="L130" s="4">
        <v>9</v>
      </c>
      <c r="M130" s="4">
        <v>0.68</v>
      </c>
      <c r="N130" s="2">
        <v>3</v>
      </c>
      <c r="O130" s="2" t="s">
        <v>95</v>
      </c>
      <c r="P130" s="2" t="s">
        <v>616</v>
      </c>
      <c r="R130" s="2" t="s">
        <v>73</v>
      </c>
      <c r="S130" s="2" t="s">
        <v>73</v>
      </c>
      <c r="T130" s="2" t="s">
        <v>73</v>
      </c>
      <c r="U130" s="2">
        <v>100</v>
      </c>
      <c r="V130" s="2" t="s">
        <v>73</v>
      </c>
      <c r="W130" s="2">
        <v>16</v>
      </c>
      <c r="X130" s="2">
        <v>35</v>
      </c>
      <c r="Y130" s="2" t="s">
        <v>98</v>
      </c>
      <c r="AB130" s="2" t="s">
        <v>116</v>
      </c>
      <c r="AE130" s="2" t="s">
        <v>235</v>
      </c>
      <c r="AF130" s="2" t="s">
        <v>73</v>
      </c>
      <c r="AG130" s="2" t="s">
        <v>463</v>
      </c>
    </row>
    <row r="131" spans="1:33" x14ac:dyDescent="0.2">
      <c r="A131" s="2">
        <v>132</v>
      </c>
      <c r="B131" s="2" t="s">
        <v>461</v>
      </c>
      <c r="C131" s="2" t="s">
        <v>454</v>
      </c>
      <c r="D131" s="2" t="s">
        <v>202</v>
      </c>
      <c r="E131" s="2" t="s">
        <v>106</v>
      </c>
      <c r="F131" s="2" t="s">
        <v>78</v>
      </c>
      <c r="G131" s="2">
        <v>10</v>
      </c>
      <c r="H131" s="2">
        <v>20</v>
      </c>
      <c r="I131" s="4">
        <v>242</v>
      </c>
      <c r="J131" s="4">
        <v>77</v>
      </c>
      <c r="K131" s="2">
        <v>3</v>
      </c>
      <c r="L131" s="4">
        <v>561</v>
      </c>
      <c r="M131" s="4">
        <v>30</v>
      </c>
      <c r="N131" s="2">
        <v>3</v>
      </c>
      <c r="O131" s="2" t="s">
        <v>95</v>
      </c>
      <c r="P131" s="2" t="s">
        <v>616</v>
      </c>
      <c r="R131" s="2" t="s">
        <v>87</v>
      </c>
      <c r="S131" s="2" t="s">
        <v>87</v>
      </c>
      <c r="T131" s="2" t="s">
        <v>87</v>
      </c>
      <c r="U131" s="2">
        <v>100</v>
      </c>
      <c r="V131" s="2" t="s">
        <v>73</v>
      </c>
      <c r="W131" s="2">
        <v>16</v>
      </c>
      <c r="X131" s="2">
        <v>35</v>
      </c>
      <c r="Y131" s="2" t="s">
        <v>98</v>
      </c>
      <c r="AB131" s="2" t="s">
        <v>116</v>
      </c>
      <c r="AE131" s="2" t="s">
        <v>235</v>
      </c>
      <c r="AF131" s="2" t="s">
        <v>73</v>
      </c>
      <c r="AG131" s="2" t="s">
        <v>462</v>
      </c>
    </row>
    <row r="132" spans="1:33" x14ac:dyDescent="0.2">
      <c r="A132" s="2">
        <v>133</v>
      </c>
      <c r="B132" s="2" t="s">
        <v>461</v>
      </c>
      <c r="C132" s="2" t="s">
        <v>454</v>
      </c>
      <c r="D132" s="2" t="s">
        <v>202</v>
      </c>
      <c r="E132" s="2" t="s">
        <v>106</v>
      </c>
      <c r="F132" s="2" t="s">
        <v>80</v>
      </c>
      <c r="G132" s="2">
        <v>10</v>
      </c>
      <c r="H132" s="2">
        <v>20</v>
      </c>
      <c r="I132" s="4">
        <v>25</v>
      </c>
      <c r="J132" s="4">
        <v>1.91</v>
      </c>
      <c r="K132" s="2">
        <v>3</v>
      </c>
      <c r="L132" s="4">
        <v>30</v>
      </c>
      <c r="M132" s="4">
        <v>2.5499999999999998</v>
      </c>
      <c r="N132" s="2">
        <v>3</v>
      </c>
      <c r="O132" s="2" t="s">
        <v>95</v>
      </c>
      <c r="P132" s="2" t="s">
        <v>616</v>
      </c>
      <c r="R132" s="2" t="s">
        <v>87</v>
      </c>
      <c r="S132" s="2" t="s">
        <v>87</v>
      </c>
      <c r="T132" s="2" t="s">
        <v>87</v>
      </c>
      <c r="U132" s="2">
        <v>100</v>
      </c>
      <c r="V132" s="2" t="s">
        <v>73</v>
      </c>
      <c r="W132" s="2">
        <v>16</v>
      </c>
      <c r="X132" s="2">
        <v>35</v>
      </c>
      <c r="Y132" s="2" t="s">
        <v>98</v>
      </c>
      <c r="AB132" s="2" t="s">
        <v>116</v>
      </c>
      <c r="AE132" s="2" t="s">
        <v>235</v>
      </c>
      <c r="AF132" s="2" t="s">
        <v>73</v>
      </c>
      <c r="AG132" s="2" t="s">
        <v>462</v>
      </c>
    </row>
    <row r="133" spans="1:33" x14ac:dyDescent="0.2">
      <c r="A133" s="2">
        <v>134</v>
      </c>
      <c r="B133" s="2" t="s">
        <v>461</v>
      </c>
      <c r="C133" s="2" t="s">
        <v>454</v>
      </c>
      <c r="D133" s="2" t="s">
        <v>202</v>
      </c>
      <c r="E133" s="2" t="s">
        <v>106</v>
      </c>
      <c r="F133" s="2" t="s">
        <v>78</v>
      </c>
      <c r="G133" s="2">
        <v>10</v>
      </c>
      <c r="H133" s="2">
        <v>20</v>
      </c>
      <c r="I133" s="4">
        <v>204</v>
      </c>
      <c r="J133" s="4">
        <v>127</v>
      </c>
      <c r="K133" s="2">
        <v>3</v>
      </c>
      <c r="L133" s="4">
        <v>329</v>
      </c>
      <c r="M133" s="4">
        <v>66</v>
      </c>
      <c r="N133" s="2">
        <v>3</v>
      </c>
      <c r="O133" s="2" t="s">
        <v>95</v>
      </c>
      <c r="P133" s="2" t="s">
        <v>616</v>
      </c>
      <c r="R133" s="2" t="s">
        <v>73</v>
      </c>
      <c r="S133" s="2" t="s">
        <v>73</v>
      </c>
      <c r="T133" s="2" t="s">
        <v>73</v>
      </c>
      <c r="U133" s="2">
        <v>100</v>
      </c>
      <c r="V133" s="2" t="s">
        <v>73</v>
      </c>
      <c r="W133" s="2">
        <v>16</v>
      </c>
      <c r="X133" s="2">
        <v>35</v>
      </c>
      <c r="Y133" s="2" t="s">
        <v>98</v>
      </c>
      <c r="AB133" s="2" t="s">
        <v>116</v>
      </c>
      <c r="AE133" s="2" t="s">
        <v>235</v>
      </c>
      <c r="AF133" s="2" t="s">
        <v>73</v>
      </c>
      <c r="AG133" s="2" t="s">
        <v>463</v>
      </c>
    </row>
    <row r="134" spans="1:33" x14ac:dyDescent="0.2">
      <c r="A134" s="2">
        <v>135</v>
      </c>
      <c r="B134" s="2" t="s">
        <v>461</v>
      </c>
      <c r="C134" s="2" t="s">
        <v>454</v>
      </c>
      <c r="D134" s="2" t="s">
        <v>202</v>
      </c>
      <c r="E134" s="2" t="s">
        <v>106</v>
      </c>
      <c r="F134" s="2" t="s">
        <v>80</v>
      </c>
      <c r="G134" s="2">
        <v>10</v>
      </c>
      <c r="H134" s="2">
        <v>20</v>
      </c>
      <c r="I134" s="4">
        <v>8</v>
      </c>
      <c r="J134" s="4">
        <v>1.1599999999999999</v>
      </c>
      <c r="K134" s="2">
        <v>3</v>
      </c>
      <c r="L134" s="4">
        <v>15</v>
      </c>
      <c r="M134" s="4">
        <v>2.56</v>
      </c>
      <c r="N134" s="2">
        <v>3</v>
      </c>
      <c r="O134" s="2" t="s">
        <v>95</v>
      </c>
      <c r="P134" s="2" t="s">
        <v>616</v>
      </c>
      <c r="R134" s="2" t="s">
        <v>73</v>
      </c>
      <c r="S134" s="2" t="s">
        <v>73</v>
      </c>
      <c r="T134" s="2" t="s">
        <v>73</v>
      </c>
      <c r="U134" s="2">
        <v>100</v>
      </c>
      <c r="V134" s="2" t="s">
        <v>73</v>
      </c>
      <c r="W134" s="2">
        <v>16</v>
      </c>
      <c r="X134" s="2">
        <v>35</v>
      </c>
      <c r="Y134" s="2" t="s">
        <v>98</v>
      </c>
      <c r="AB134" s="2" t="s">
        <v>116</v>
      </c>
      <c r="AE134" s="2" t="s">
        <v>235</v>
      </c>
      <c r="AF134" s="2" t="s">
        <v>73</v>
      </c>
      <c r="AG134" s="2" t="s">
        <v>463</v>
      </c>
    </row>
    <row r="135" spans="1:33" x14ac:dyDescent="0.2">
      <c r="A135" s="2">
        <v>136</v>
      </c>
      <c r="B135" s="2" t="s">
        <v>461</v>
      </c>
      <c r="C135" s="2" t="s">
        <v>465</v>
      </c>
      <c r="D135" s="2" t="s">
        <v>121</v>
      </c>
      <c r="E135" s="2" t="s">
        <v>106</v>
      </c>
      <c r="F135" s="2" t="s">
        <v>78</v>
      </c>
      <c r="G135" s="2">
        <v>10</v>
      </c>
      <c r="H135" s="2">
        <v>20</v>
      </c>
      <c r="I135" s="4">
        <v>631</v>
      </c>
      <c r="J135" s="4">
        <v>202</v>
      </c>
      <c r="K135" s="2">
        <v>3</v>
      </c>
      <c r="L135" s="4">
        <v>1926</v>
      </c>
      <c r="M135" s="4">
        <v>89</v>
      </c>
      <c r="N135" s="2">
        <v>3</v>
      </c>
      <c r="O135" s="2" t="s">
        <v>95</v>
      </c>
      <c r="P135" s="2" t="s">
        <v>616</v>
      </c>
      <c r="R135" s="2" t="s">
        <v>87</v>
      </c>
      <c r="S135" s="2" t="s">
        <v>87</v>
      </c>
      <c r="T135" s="2" t="s">
        <v>87</v>
      </c>
      <c r="U135" s="2">
        <v>100</v>
      </c>
      <c r="V135" s="2" t="s">
        <v>73</v>
      </c>
      <c r="W135" s="2">
        <v>16</v>
      </c>
      <c r="X135" s="2">
        <v>35</v>
      </c>
      <c r="Y135" s="2" t="s">
        <v>98</v>
      </c>
      <c r="AB135" s="2" t="s">
        <v>116</v>
      </c>
      <c r="AE135" s="2" t="s">
        <v>235</v>
      </c>
      <c r="AF135" s="2" t="s">
        <v>73</v>
      </c>
      <c r="AG135" s="2" t="s">
        <v>462</v>
      </c>
    </row>
    <row r="136" spans="1:33" x14ac:dyDescent="0.2">
      <c r="A136" s="2">
        <v>137</v>
      </c>
      <c r="B136" s="2" t="s">
        <v>461</v>
      </c>
      <c r="C136" s="2" t="s">
        <v>465</v>
      </c>
      <c r="D136" s="2" t="s">
        <v>121</v>
      </c>
      <c r="E136" s="2" t="s">
        <v>106</v>
      </c>
      <c r="F136" s="2" t="s">
        <v>80</v>
      </c>
      <c r="G136" s="2">
        <v>10</v>
      </c>
      <c r="H136" s="2">
        <v>20</v>
      </c>
      <c r="I136" s="4">
        <v>7</v>
      </c>
      <c r="J136" s="4">
        <v>0.28999999999999998</v>
      </c>
      <c r="K136" s="2">
        <v>3</v>
      </c>
      <c r="L136" s="4">
        <v>18</v>
      </c>
      <c r="M136" s="4">
        <v>1.42</v>
      </c>
      <c r="N136" s="2">
        <v>3</v>
      </c>
      <c r="O136" s="2" t="s">
        <v>95</v>
      </c>
      <c r="P136" s="2" t="s">
        <v>616</v>
      </c>
      <c r="R136" s="2" t="s">
        <v>87</v>
      </c>
      <c r="S136" s="2" t="s">
        <v>87</v>
      </c>
      <c r="T136" s="2" t="s">
        <v>87</v>
      </c>
      <c r="U136" s="2">
        <v>100</v>
      </c>
      <c r="V136" s="2" t="s">
        <v>73</v>
      </c>
      <c r="W136" s="2">
        <v>16</v>
      </c>
      <c r="X136" s="2">
        <v>35</v>
      </c>
      <c r="Y136" s="2" t="s">
        <v>98</v>
      </c>
      <c r="AB136" s="2" t="s">
        <v>116</v>
      </c>
      <c r="AE136" s="2" t="s">
        <v>235</v>
      </c>
      <c r="AF136" s="2" t="s">
        <v>73</v>
      </c>
      <c r="AG136" s="2" t="s">
        <v>462</v>
      </c>
    </row>
    <row r="137" spans="1:33" x14ac:dyDescent="0.2">
      <c r="A137" s="2">
        <v>138</v>
      </c>
      <c r="B137" s="2" t="s">
        <v>461</v>
      </c>
      <c r="C137" s="2" t="s">
        <v>465</v>
      </c>
      <c r="D137" s="2" t="s">
        <v>121</v>
      </c>
      <c r="E137" s="2" t="s">
        <v>106</v>
      </c>
      <c r="F137" s="2" t="s">
        <v>78</v>
      </c>
      <c r="G137" s="2">
        <v>10</v>
      </c>
      <c r="H137" s="2">
        <v>20</v>
      </c>
      <c r="I137" s="4">
        <v>133</v>
      </c>
      <c r="J137" s="4">
        <v>26</v>
      </c>
      <c r="K137" s="2">
        <v>3</v>
      </c>
      <c r="L137" s="4">
        <v>252</v>
      </c>
      <c r="M137" s="4">
        <v>51</v>
      </c>
      <c r="N137" s="2">
        <v>3</v>
      </c>
      <c r="O137" s="2" t="s">
        <v>95</v>
      </c>
      <c r="P137" s="2" t="s">
        <v>616</v>
      </c>
      <c r="R137" s="2" t="s">
        <v>73</v>
      </c>
      <c r="S137" s="2" t="s">
        <v>73</v>
      </c>
      <c r="T137" s="2" t="s">
        <v>73</v>
      </c>
      <c r="U137" s="2">
        <v>100</v>
      </c>
      <c r="V137" s="2" t="s">
        <v>73</v>
      </c>
      <c r="W137" s="2">
        <v>16</v>
      </c>
      <c r="X137" s="2">
        <v>35</v>
      </c>
      <c r="Y137" s="2" t="s">
        <v>98</v>
      </c>
      <c r="AB137" s="2" t="s">
        <v>116</v>
      </c>
      <c r="AE137" s="2" t="s">
        <v>235</v>
      </c>
      <c r="AF137" s="2" t="s">
        <v>73</v>
      </c>
      <c r="AG137" s="2" t="s">
        <v>463</v>
      </c>
    </row>
    <row r="138" spans="1:33" x14ac:dyDescent="0.2">
      <c r="A138" s="2">
        <v>139</v>
      </c>
      <c r="B138" s="2" t="s">
        <v>461</v>
      </c>
      <c r="C138" s="2" t="s">
        <v>465</v>
      </c>
      <c r="D138" s="2" t="s">
        <v>121</v>
      </c>
      <c r="E138" s="2" t="s">
        <v>106</v>
      </c>
      <c r="F138" s="2" t="s">
        <v>80</v>
      </c>
      <c r="G138" s="2">
        <v>10</v>
      </c>
      <c r="H138" s="2">
        <v>20</v>
      </c>
      <c r="I138" s="4">
        <v>9</v>
      </c>
      <c r="J138" s="4">
        <v>0.62</v>
      </c>
      <c r="K138" s="2">
        <v>3</v>
      </c>
      <c r="L138" s="4">
        <v>10</v>
      </c>
      <c r="M138" s="4">
        <v>0.64</v>
      </c>
      <c r="N138" s="2">
        <v>3</v>
      </c>
      <c r="O138" s="2" t="s">
        <v>95</v>
      </c>
      <c r="P138" s="2" t="s">
        <v>616</v>
      </c>
      <c r="R138" s="2" t="s">
        <v>73</v>
      </c>
      <c r="S138" s="2" t="s">
        <v>73</v>
      </c>
      <c r="T138" s="2" t="s">
        <v>73</v>
      </c>
      <c r="U138" s="2">
        <v>100</v>
      </c>
      <c r="V138" s="2" t="s">
        <v>73</v>
      </c>
      <c r="W138" s="2">
        <v>16</v>
      </c>
      <c r="X138" s="2">
        <v>35</v>
      </c>
      <c r="Y138" s="2" t="s">
        <v>98</v>
      </c>
      <c r="AB138" s="2" t="s">
        <v>116</v>
      </c>
      <c r="AE138" s="2" t="s">
        <v>235</v>
      </c>
      <c r="AF138" s="2" t="s">
        <v>73</v>
      </c>
      <c r="AG138" s="2" t="s">
        <v>463</v>
      </c>
    </row>
    <row r="139" spans="1:33" x14ac:dyDescent="0.2">
      <c r="A139" s="2">
        <v>140</v>
      </c>
      <c r="B139" s="2" t="s">
        <v>461</v>
      </c>
      <c r="C139" s="2" t="s">
        <v>466</v>
      </c>
      <c r="D139" s="2" t="s">
        <v>202</v>
      </c>
      <c r="E139" s="2" t="s">
        <v>106</v>
      </c>
      <c r="F139" s="2" t="s">
        <v>78</v>
      </c>
      <c r="G139" s="2">
        <v>10</v>
      </c>
      <c r="H139" s="2">
        <v>20</v>
      </c>
      <c r="I139" s="4">
        <v>241</v>
      </c>
      <c r="J139" s="4">
        <v>18</v>
      </c>
      <c r="K139" s="2">
        <v>3</v>
      </c>
      <c r="L139" s="4">
        <v>280</v>
      </c>
      <c r="M139" s="4">
        <v>71</v>
      </c>
      <c r="N139" s="2">
        <v>3</v>
      </c>
      <c r="O139" s="2" t="s">
        <v>95</v>
      </c>
      <c r="P139" s="2" t="s">
        <v>616</v>
      </c>
      <c r="R139" s="2" t="s">
        <v>87</v>
      </c>
      <c r="S139" s="2" t="s">
        <v>87</v>
      </c>
      <c r="T139" s="2" t="s">
        <v>87</v>
      </c>
      <c r="U139" s="2">
        <v>100</v>
      </c>
      <c r="V139" s="2" t="s">
        <v>73</v>
      </c>
      <c r="W139" s="2">
        <v>16</v>
      </c>
      <c r="X139" s="2">
        <v>35</v>
      </c>
      <c r="Y139" s="2" t="s">
        <v>98</v>
      </c>
      <c r="AB139" s="2" t="s">
        <v>116</v>
      </c>
      <c r="AE139" s="2" t="s">
        <v>235</v>
      </c>
      <c r="AF139" s="2" t="s">
        <v>73</v>
      </c>
      <c r="AG139" s="2" t="s">
        <v>462</v>
      </c>
    </row>
    <row r="140" spans="1:33" x14ac:dyDescent="0.2">
      <c r="A140" s="2">
        <v>141</v>
      </c>
      <c r="B140" s="2" t="s">
        <v>461</v>
      </c>
      <c r="C140" s="2" t="s">
        <v>466</v>
      </c>
      <c r="D140" s="2" t="s">
        <v>202</v>
      </c>
      <c r="E140" s="2" t="s">
        <v>106</v>
      </c>
      <c r="F140" s="2" t="s">
        <v>80</v>
      </c>
      <c r="G140" s="2">
        <v>10</v>
      </c>
      <c r="H140" s="2">
        <v>20</v>
      </c>
      <c r="I140" s="4">
        <v>8</v>
      </c>
      <c r="J140" s="4">
        <v>0.08</v>
      </c>
      <c r="K140" s="2">
        <v>3</v>
      </c>
      <c r="L140" s="4">
        <v>15</v>
      </c>
      <c r="M140" s="4">
        <v>0.35</v>
      </c>
      <c r="N140" s="2">
        <v>3</v>
      </c>
      <c r="O140" s="2" t="s">
        <v>95</v>
      </c>
      <c r="P140" s="2" t="s">
        <v>616</v>
      </c>
      <c r="R140" s="2" t="s">
        <v>87</v>
      </c>
      <c r="S140" s="2" t="s">
        <v>87</v>
      </c>
      <c r="T140" s="2" t="s">
        <v>87</v>
      </c>
      <c r="U140" s="2">
        <v>100</v>
      </c>
      <c r="V140" s="2" t="s">
        <v>73</v>
      </c>
      <c r="W140" s="2">
        <v>16</v>
      </c>
      <c r="X140" s="2">
        <v>35</v>
      </c>
      <c r="Y140" s="2" t="s">
        <v>98</v>
      </c>
      <c r="AB140" s="2" t="s">
        <v>116</v>
      </c>
      <c r="AE140" s="2" t="s">
        <v>235</v>
      </c>
      <c r="AF140" s="2" t="s">
        <v>73</v>
      </c>
      <c r="AG140" s="2" t="s">
        <v>462</v>
      </c>
    </row>
    <row r="141" spans="1:33" x14ac:dyDescent="0.2">
      <c r="A141" s="2">
        <v>142</v>
      </c>
      <c r="B141" s="2" t="s">
        <v>461</v>
      </c>
      <c r="C141" s="2" t="s">
        <v>466</v>
      </c>
      <c r="D141" s="2" t="s">
        <v>202</v>
      </c>
      <c r="E141" s="2" t="s">
        <v>106</v>
      </c>
      <c r="F141" s="2" t="s">
        <v>78</v>
      </c>
      <c r="G141" s="2">
        <v>10</v>
      </c>
      <c r="H141" s="2">
        <v>20</v>
      </c>
      <c r="I141" s="4">
        <v>23</v>
      </c>
      <c r="J141" s="4">
        <v>5.38</v>
      </c>
      <c r="K141" s="2">
        <v>3</v>
      </c>
      <c r="L141" s="4">
        <v>77</v>
      </c>
      <c r="M141" s="4">
        <v>10</v>
      </c>
      <c r="N141" s="2">
        <v>3</v>
      </c>
      <c r="O141" s="2" t="s">
        <v>95</v>
      </c>
      <c r="P141" s="2" t="s">
        <v>616</v>
      </c>
      <c r="R141" s="2" t="s">
        <v>73</v>
      </c>
      <c r="S141" s="2" t="s">
        <v>73</v>
      </c>
      <c r="T141" s="2" t="s">
        <v>73</v>
      </c>
      <c r="U141" s="2">
        <v>100</v>
      </c>
      <c r="V141" s="2" t="s">
        <v>73</v>
      </c>
      <c r="W141" s="2">
        <v>16</v>
      </c>
      <c r="X141" s="2">
        <v>35</v>
      </c>
      <c r="Y141" s="2" t="s">
        <v>98</v>
      </c>
      <c r="AB141" s="2" t="s">
        <v>116</v>
      </c>
      <c r="AE141" s="2" t="s">
        <v>235</v>
      </c>
      <c r="AF141" s="2" t="s">
        <v>73</v>
      </c>
      <c r="AG141" s="2" t="s">
        <v>463</v>
      </c>
    </row>
    <row r="142" spans="1:33" x14ac:dyDescent="0.2">
      <c r="A142" s="2">
        <v>143</v>
      </c>
      <c r="B142" s="2" t="s">
        <v>461</v>
      </c>
      <c r="C142" s="2" t="s">
        <v>466</v>
      </c>
      <c r="D142" s="2" t="s">
        <v>202</v>
      </c>
      <c r="E142" s="2" t="s">
        <v>106</v>
      </c>
      <c r="F142" s="2" t="s">
        <v>80</v>
      </c>
      <c r="G142" s="2">
        <v>10</v>
      </c>
      <c r="H142" s="2">
        <v>20</v>
      </c>
      <c r="I142" s="4">
        <v>7</v>
      </c>
      <c r="J142" s="4">
        <v>0.38</v>
      </c>
      <c r="K142" s="2">
        <v>3</v>
      </c>
      <c r="L142" s="4">
        <v>10</v>
      </c>
      <c r="M142" s="4">
        <v>1.34</v>
      </c>
      <c r="N142" s="2">
        <v>3</v>
      </c>
      <c r="O142" s="2" t="s">
        <v>95</v>
      </c>
      <c r="P142" s="2" t="s">
        <v>616</v>
      </c>
      <c r="R142" s="2" t="s">
        <v>73</v>
      </c>
      <c r="S142" s="2" t="s">
        <v>73</v>
      </c>
      <c r="T142" s="2" t="s">
        <v>73</v>
      </c>
      <c r="U142" s="2">
        <v>100</v>
      </c>
      <c r="V142" s="2" t="s">
        <v>73</v>
      </c>
      <c r="W142" s="2">
        <v>16</v>
      </c>
      <c r="X142" s="2">
        <v>35</v>
      </c>
      <c r="Y142" s="2" t="s">
        <v>98</v>
      </c>
      <c r="AB142" s="2" t="s">
        <v>116</v>
      </c>
      <c r="AE142" s="2" t="s">
        <v>235</v>
      </c>
      <c r="AF142" s="2" t="s">
        <v>73</v>
      </c>
      <c r="AG142" s="2" t="s">
        <v>463</v>
      </c>
    </row>
    <row r="143" spans="1:33" x14ac:dyDescent="0.2">
      <c r="A143" s="2">
        <v>144</v>
      </c>
      <c r="B143" s="2" t="s">
        <v>461</v>
      </c>
      <c r="C143" s="2" t="s">
        <v>305</v>
      </c>
      <c r="D143" s="2" t="s">
        <v>135</v>
      </c>
      <c r="E143" s="2" t="s">
        <v>106</v>
      </c>
      <c r="F143" s="2" t="s">
        <v>78</v>
      </c>
      <c r="G143" s="2">
        <v>10</v>
      </c>
      <c r="H143" s="2">
        <v>20</v>
      </c>
      <c r="I143" s="4">
        <v>121</v>
      </c>
      <c r="J143" s="4">
        <v>35</v>
      </c>
      <c r="K143" s="2">
        <v>3</v>
      </c>
      <c r="L143" s="4">
        <v>201</v>
      </c>
      <c r="M143" s="4">
        <v>24</v>
      </c>
      <c r="N143" s="2">
        <v>3</v>
      </c>
      <c r="O143" s="2" t="s">
        <v>95</v>
      </c>
      <c r="P143" s="2" t="s">
        <v>616</v>
      </c>
      <c r="R143" s="2" t="s">
        <v>87</v>
      </c>
      <c r="S143" s="2" t="s">
        <v>87</v>
      </c>
      <c r="T143" s="2" t="s">
        <v>87</v>
      </c>
      <c r="U143" s="2">
        <v>100</v>
      </c>
      <c r="V143" s="2" t="s">
        <v>73</v>
      </c>
      <c r="W143" s="2">
        <v>16</v>
      </c>
      <c r="X143" s="2">
        <v>35</v>
      </c>
      <c r="Y143" s="2" t="s">
        <v>98</v>
      </c>
      <c r="AB143" s="2" t="s">
        <v>116</v>
      </c>
      <c r="AE143" s="2" t="s">
        <v>235</v>
      </c>
      <c r="AF143" s="2" t="s">
        <v>73</v>
      </c>
      <c r="AG143" s="2" t="s">
        <v>462</v>
      </c>
    </row>
    <row r="144" spans="1:33" x14ac:dyDescent="0.2">
      <c r="A144" s="2">
        <v>145</v>
      </c>
      <c r="B144" s="2" t="s">
        <v>461</v>
      </c>
      <c r="C144" s="2" t="s">
        <v>305</v>
      </c>
      <c r="D144" s="2" t="s">
        <v>135</v>
      </c>
      <c r="E144" s="2" t="s">
        <v>106</v>
      </c>
      <c r="F144" s="2" t="s">
        <v>80</v>
      </c>
      <c r="G144" s="2">
        <v>10</v>
      </c>
      <c r="H144" s="2">
        <v>20</v>
      </c>
      <c r="I144" s="4">
        <v>10</v>
      </c>
      <c r="J144" s="4">
        <v>1.1100000000000001</v>
      </c>
      <c r="K144" s="2">
        <v>3</v>
      </c>
      <c r="L144" s="4">
        <v>11</v>
      </c>
      <c r="M144" s="4">
        <v>0.14000000000000001</v>
      </c>
      <c r="N144" s="2">
        <v>3</v>
      </c>
      <c r="O144" s="2" t="s">
        <v>95</v>
      </c>
      <c r="P144" s="2" t="s">
        <v>616</v>
      </c>
      <c r="R144" s="2" t="s">
        <v>87</v>
      </c>
      <c r="S144" s="2" t="s">
        <v>87</v>
      </c>
      <c r="T144" s="2" t="s">
        <v>87</v>
      </c>
      <c r="U144" s="2">
        <v>100</v>
      </c>
      <c r="V144" s="2" t="s">
        <v>73</v>
      </c>
      <c r="W144" s="2">
        <v>16</v>
      </c>
      <c r="X144" s="2">
        <v>35</v>
      </c>
      <c r="Y144" s="2" t="s">
        <v>98</v>
      </c>
      <c r="AB144" s="2" t="s">
        <v>116</v>
      </c>
      <c r="AE144" s="2" t="s">
        <v>235</v>
      </c>
      <c r="AF144" s="2" t="s">
        <v>73</v>
      </c>
      <c r="AG144" s="2" t="s">
        <v>462</v>
      </c>
    </row>
    <row r="145" spans="1:33" x14ac:dyDescent="0.2">
      <c r="A145" s="2">
        <v>146</v>
      </c>
      <c r="B145" s="2" t="s">
        <v>461</v>
      </c>
      <c r="C145" s="2" t="s">
        <v>305</v>
      </c>
      <c r="D145" s="2" t="s">
        <v>135</v>
      </c>
      <c r="E145" s="2" t="s">
        <v>106</v>
      </c>
      <c r="F145" s="2" t="s">
        <v>78</v>
      </c>
      <c r="G145" s="2">
        <v>10</v>
      </c>
      <c r="H145" s="2">
        <v>20</v>
      </c>
      <c r="I145" s="4">
        <v>6</v>
      </c>
      <c r="J145" s="4">
        <v>0.98</v>
      </c>
      <c r="K145" s="2">
        <v>3</v>
      </c>
      <c r="L145" s="4">
        <v>69</v>
      </c>
      <c r="M145" s="4">
        <v>6</v>
      </c>
      <c r="N145" s="2">
        <v>3</v>
      </c>
      <c r="O145" s="2" t="s">
        <v>95</v>
      </c>
      <c r="P145" s="2" t="s">
        <v>616</v>
      </c>
      <c r="R145" s="2" t="s">
        <v>73</v>
      </c>
      <c r="S145" s="2" t="s">
        <v>73</v>
      </c>
      <c r="T145" s="2" t="s">
        <v>73</v>
      </c>
      <c r="U145" s="2">
        <v>100</v>
      </c>
      <c r="V145" s="2" t="s">
        <v>73</v>
      </c>
      <c r="W145" s="2">
        <v>16</v>
      </c>
      <c r="X145" s="2">
        <v>35</v>
      </c>
      <c r="Y145" s="2" t="s">
        <v>98</v>
      </c>
      <c r="AB145" s="2" t="s">
        <v>116</v>
      </c>
      <c r="AE145" s="2" t="s">
        <v>235</v>
      </c>
      <c r="AF145" s="2" t="s">
        <v>73</v>
      </c>
      <c r="AG145" s="2" t="s">
        <v>463</v>
      </c>
    </row>
    <row r="146" spans="1:33" x14ac:dyDescent="0.2">
      <c r="A146" s="2">
        <v>147</v>
      </c>
      <c r="B146" s="2" t="s">
        <v>461</v>
      </c>
      <c r="C146" s="2" t="s">
        <v>305</v>
      </c>
      <c r="D146" s="2" t="s">
        <v>135</v>
      </c>
      <c r="E146" s="2" t="s">
        <v>106</v>
      </c>
      <c r="F146" s="2" t="s">
        <v>80</v>
      </c>
      <c r="G146" s="2">
        <v>10</v>
      </c>
      <c r="H146" s="2">
        <v>20</v>
      </c>
      <c r="I146" s="4">
        <v>6</v>
      </c>
      <c r="J146" s="4">
        <v>0.15</v>
      </c>
      <c r="K146" s="2">
        <v>3</v>
      </c>
      <c r="L146" s="4">
        <v>9</v>
      </c>
      <c r="M146" s="4">
        <v>1.32</v>
      </c>
      <c r="N146" s="2">
        <v>3</v>
      </c>
      <c r="O146" s="2" t="s">
        <v>95</v>
      </c>
      <c r="P146" s="2" t="s">
        <v>616</v>
      </c>
      <c r="R146" s="2" t="s">
        <v>73</v>
      </c>
      <c r="S146" s="2" t="s">
        <v>73</v>
      </c>
      <c r="T146" s="2" t="s">
        <v>73</v>
      </c>
      <c r="U146" s="2">
        <v>100</v>
      </c>
      <c r="V146" s="2" t="s">
        <v>73</v>
      </c>
      <c r="W146" s="2">
        <v>16</v>
      </c>
      <c r="X146" s="2">
        <v>35</v>
      </c>
      <c r="Y146" s="2" t="s">
        <v>98</v>
      </c>
      <c r="AB146" s="2" t="s">
        <v>116</v>
      </c>
      <c r="AE146" s="2" t="s">
        <v>235</v>
      </c>
      <c r="AF146" s="2" t="s">
        <v>73</v>
      </c>
      <c r="AG146" s="2" t="s">
        <v>463</v>
      </c>
    </row>
    <row r="147" spans="1:33" x14ac:dyDescent="0.2">
      <c r="A147" s="2">
        <v>149</v>
      </c>
      <c r="B147" s="2" t="s">
        <v>474</v>
      </c>
      <c r="C147" s="2" t="s">
        <v>83</v>
      </c>
      <c r="D147" s="2" t="s">
        <v>84</v>
      </c>
      <c r="E147" s="2" t="s">
        <v>85</v>
      </c>
      <c r="F147" s="2" t="s">
        <v>78</v>
      </c>
      <c r="G147" s="2">
        <v>22</v>
      </c>
      <c r="H147" s="2">
        <v>26</v>
      </c>
      <c r="I147" s="4">
        <v>69.91</v>
      </c>
      <c r="J147" s="4">
        <f>2.75*SQRT(6)</f>
        <v>6.736096792653739</v>
      </c>
      <c r="K147" s="2">
        <v>6</v>
      </c>
      <c r="L147" s="4">
        <v>84.91</v>
      </c>
      <c r="M147" s="4">
        <f>2.21*SQRT(6)</f>
        <v>5.4133723315508231</v>
      </c>
      <c r="N147" s="2">
        <v>6</v>
      </c>
      <c r="O147" s="2" t="s">
        <v>75</v>
      </c>
      <c r="P147" s="2" t="s">
        <v>616</v>
      </c>
      <c r="R147" s="2" t="s">
        <v>73</v>
      </c>
      <c r="S147" s="2" t="s">
        <v>73</v>
      </c>
      <c r="T147" s="2" t="s">
        <v>73</v>
      </c>
      <c r="U147" s="2">
        <v>100</v>
      </c>
      <c r="V147" s="2" t="s">
        <v>73</v>
      </c>
      <c r="W147" s="2">
        <v>12</v>
      </c>
      <c r="X147" s="2">
        <v>32</v>
      </c>
      <c r="Y147" s="2" t="s">
        <v>89</v>
      </c>
      <c r="Z147" s="2">
        <v>300</v>
      </c>
      <c r="AB147" s="2" t="s">
        <v>116</v>
      </c>
      <c r="AE147" s="2" t="s">
        <v>264</v>
      </c>
      <c r="AF147" s="2" t="s">
        <v>73</v>
      </c>
      <c r="AG147" s="2" t="s">
        <v>475</v>
      </c>
    </row>
    <row r="148" spans="1:33" x14ac:dyDescent="0.2">
      <c r="A148" s="2">
        <v>150</v>
      </c>
      <c r="B148" s="2" t="s">
        <v>474</v>
      </c>
      <c r="C148" s="2" t="s">
        <v>83</v>
      </c>
      <c r="D148" s="2" t="s">
        <v>84</v>
      </c>
      <c r="E148" s="2" t="s">
        <v>85</v>
      </c>
      <c r="F148" s="2" t="s">
        <v>80</v>
      </c>
      <c r="G148" s="2">
        <v>22</v>
      </c>
      <c r="H148" s="2">
        <v>26</v>
      </c>
      <c r="I148" s="4">
        <v>6.94</v>
      </c>
      <c r="J148" s="4">
        <f>0.12*SQRT(6)</f>
        <v>0.29393876913398131</v>
      </c>
      <c r="K148" s="2">
        <v>6</v>
      </c>
      <c r="L148" s="4">
        <v>7.08</v>
      </c>
      <c r="M148" s="4">
        <f>0.08*SQRT(6)</f>
        <v>0.19595917942265423</v>
      </c>
      <c r="N148" s="2">
        <v>6</v>
      </c>
      <c r="O148" s="2" t="s">
        <v>75</v>
      </c>
      <c r="P148" s="2" t="s">
        <v>616</v>
      </c>
      <c r="R148" s="2" t="s">
        <v>73</v>
      </c>
      <c r="S148" s="2" t="s">
        <v>73</v>
      </c>
      <c r="T148" s="2" t="s">
        <v>73</v>
      </c>
      <c r="U148" s="2">
        <v>100</v>
      </c>
      <c r="V148" s="2" t="s">
        <v>73</v>
      </c>
      <c r="W148" s="2">
        <v>12</v>
      </c>
      <c r="X148" s="2">
        <v>32</v>
      </c>
      <c r="Y148" s="2" t="s">
        <v>89</v>
      </c>
      <c r="Z148" s="2">
        <v>300</v>
      </c>
      <c r="AB148" s="2" t="s">
        <v>116</v>
      </c>
      <c r="AE148" s="2" t="s">
        <v>264</v>
      </c>
      <c r="AF148" s="2" t="s">
        <v>73</v>
      </c>
      <c r="AG148" s="2" t="s">
        <v>475</v>
      </c>
    </row>
    <row r="149" spans="1:33" x14ac:dyDescent="0.2">
      <c r="A149" s="2">
        <v>151</v>
      </c>
      <c r="B149" s="2" t="s">
        <v>482</v>
      </c>
      <c r="C149" s="2" t="s">
        <v>236</v>
      </c>
      <c r="D149" s="2" t="s">
        <v>121</v>
      </c>
      <c r="E149" s="2" t="s">
        <v>122</v>
      </c>
      <c r="F149" s="2" t="s">
        <v>78</v>
      </c>
      <c r="G149" s="2">
        <v>13</v>
      </c>
      <c r="H149" s="2">
        <v>19</v>
      </c>
      <c r="I149" s="4">
        <v>147.8047334871701</v>
      </c>
      <c r="J149" s="4">
        <v>14.063177938623239</v>
      </c>
      <c r="K149" s="2">
        <v>3</v>
      </c>
      <c r="L149" s="4">
        <v>130.53436206942357</v>
      </c>
      <c r="M149" s="4">
        <v>15.066753131081636</v>
      </c>
      <c r="N149" s="2">
        <v>3</v>
      </c>
      <c r="O149" s="2" t="s">
        <v>75</v>
      </c>
      <c r="P149" s="2" t="s">
        <v>616</v>
      </c>
      <c r="R149" s="2" t="s">
        <v>73</v>
      </c>
      <c r="S149" s="2" t="s">
        <v>73</v>
      </c>
      <c r="T149" s="2" t="s">
        <v>73</v>
      </c>
      <c r="U149" s="2">
        <v>170</v>
      </c>
      <c r="V149" s="2" t="s">
        <v>73</v>
      </c>
      <c r="W149" s="2">
        <v>14</v>
      </c>
      <c r="X149" s="2">
        <v>30</v>
      </c>
      <c r="Y149" s="2" t="s">
        <v>98</v>
      </c>
      <c r="AB149" s="2" t="s">
        <v>116</v>
      </c>
      <c r="AE149" s="2" t="s">
        <v>483</v>
      </c>
      <c r="AF149" s="2" t="s">
        <v>73</v>
      </c>
      <c r="AG149" s="2" t="s">
        <v>484</v>
      </c>
    </row>
    <row r="150" spans="1:33" x14ac:dyDescent="0.2">
      <c r="A150" s="2">
        <v>152</v>
      </c>
      <c r="B150" s="2" t="s">
        <v>482</v>
      </c>
      <c r="C150" s="2" t="s">
        <v>236</v>
      </c>
      <c r="D150" s="2" t="s">
        <v>121</v>
      </c>
      <c r="E150" s="2" t="s">
        <v>122</v>
      </c>
      <c r="F150" s="2" t="s">
        <v>80</v>
      </c>
      <c r="G150" s="2">
        <v>13</v>
      </c>
      <c r="H150" s="2">
        <v>19</v>
      </c>
      <c r="I150" s="4">
        <v>12.404115226337462</v>
      </c>
      <c r="J150" s="4">
        <v>0.49127051664055915</v>
      </c>
      <c r="K150" s="2">
        <v>3</v>
      </c>
      <c r="L150" s="4">
        <v>14.108392434988184</v>
      </c>
      <c r="M150" s="4">
        <v>4.5777520832581891</v>
      </c>
      <c r="N150" s="2">
        <v>3</v>
      </c>
      <c r="O150" s="2" t="s">
        <v>75</v>
      </c>
      <c r="P150" s="2" t="s">
        <v>616</v>
      </c>
      <c r="R150" s="2" t="s">
        <v>73</v>
      </c>
      <c r="S150" s="2" t="s">
        <v>73</v>
      </c>
      <c r="T150" s="2" t="s">
        <v>73</v>
      </c>
      <c r="U150" s="2">
        <v>170</v>
      </c>
      <c r="V150" s="2" t="s">
        <v>73</v>
      </c>
      <c r="W150" s="2">
        <v>14</v>
      </c>
      <c r="X150" s="2">
        <v>30</v>
      </c>
      <c r="Y150" s="2" t="s">
        <v>98</v>
      </c>
      <c r="AB150" s="2" t="s">
        <v>116</v>
      </c>
      <c r="AE150" s="2" t="s">
        <v>483</v>
      </c>
      <c r="AF150" s="2" t="s">
        <v>73</v>
      </c>
      <c r="AG150" s="2" t="s">
        <v>484</v>
      </c>
    </row>
    <row r="151" spans="1:33" x14ac:dyDescent="0.2">
      <c r="A151" s="2">
        <v>153</v>
      </c>
      <c r="B151" s="2" t="s">
        <v>482</v>
      </c>
      <c r="C151" s="2" t="s">
        <v>485</v>
      </c>
      <c r="D151" s="2" t="s">
        <v>121</v>
      </c>
      <c r="E151" s="2" t="s">
        <v>106</v>
      </c>
      <c r="F151" s="2" t="s">
        <v>78</v>
      </c>
      <c r="G151" s="2">
        <v>13</v>
      </c>
      <c r="H151" s="2">
        <v>19</v>
      </c>
      <c r="I151" s="4">
        <v>240.55315187204585</v>
      </c>
      <c r="J151" s="4">
        <v>18.51606501242853</v>
      </c>
      <c r="K151" s="2">
        <v>3</v>
      </c>
      <c r="L151" s="4">
        <v>229.9481614803336</v>
      </c>
      <c r="M151" s="4">
        <v>25.057415904975823</v>
      </c>
      <c r="N151" s="2">
        <v>3</v>
      </c>
      <c r="O151" s="2" t="s">
        <v>75</v>
      </c>
      <c r="P151" s="2" t="s">
        <v>616</v>
      </c>
      <c r="R151" s="2" t="s">
        <v>87</v>
      </c>
      <c r="S151" s="2" t="s">
        <v>73</v>
      </c>
      <c r="T151" s="2" t="s">
        <v>73</v>
      </c>
      <c r="U151" s="2">
        <v>170</v>
      </c>
      <c r="V151" s="2" t="s">
        <v>73</v>
      </c>
      <c r="W151" s="2">
        <v>14</v>
      </c>
      <c r="X151" s="2">
        <v>30</v>
      </c>
      <c r="Y151" s="2" t="s">
        <v>98</v>
      </c>
      <c r="AB151" s="2" t="s">
        <v>116</v>
      </c>
      <c r="AE151" s="2" t="s">
        <v>483</v>
      </c>
      <c r="AF151" s="2" t="s">
        <v>73</v>
      </c>
      <c r="AG151" s="2" t="s">
        <v>486</v>
      </c>
    </row>
    <row r="152" spans="1:33" x14ac:dyDescent="0.2">
      <c r="A152" s="2">
        <v>154</v>
      </c>
      <c r="B152" s="2" t="s">
        <v>482</v>
      </c>
      <c r="C152" s="2" t="s">
        <v>485</v>
      </c>
      <c r="D152" s="2" t="s">
        <v>121</v>
      </c>
      <c r="E152" s="2" t="s">
        <v>106</v>
      </c>
      <c r="F152" s="2" t="s">
        <v>80</v>
      </c>
      <c r="G152" s="2">
        <v>13</v>
      </c>
      <c r="H152" s="2">
        <v>19</v>
      </c>
      <c r="I152" s="4">
        <v>11.337889125169831</v>
      </c>
      <c r="J152" s="4">
        <v>0.71709953159974349</v>
      </c>
      <c r="K152" s="2">
        <v>3</v>
      </c>
      <c r="L152" s="4">
        <v>13.046889838556512</v>
      </c>
      <c r="M152" s="4">
        <v>0.56968754369270491</v>
      </c>
      <c r="N152" s="2">
        <v>3</v>
      </c>
      <c r="O152" s="2" t="s">
        <v>75</v>
      </c>
      <c r="P152" s="2" t="s">
        <v>616</v>
      </c>
      <c r="R152" s="2" t="s">
        <v>87</v>
      </c>
      <c r="S152" s="2" t="s">
        <v>73</v>
      </c>
      <c r="T152" s="2" t="s">
        <v>73</v>
      </c>
      <c r="U152" s="2">
        <v>170</v>
      </c>
      <c r="V152" s="2" t="s">
        <v>73</v>
      </c>
      <c r="W152" s="2">
        <v>14</v>
      </c>
      <c r="X152" s="2">
        <v>30</v>
      </c>
      <c r="Y152" s="2" t="s">
        <v>98</v>
      </c>
      <c r="AB152" s="2" t="s">
        <v>116</v>
      </c>
      <c r="AE152" s="2" t="s">
        <v>483</v>
      </c>
      <c r="AF152" s="2" t="s">
        <v>73</v>
      </c>
      <c r="AG152" s="2" t="s">
        <v>486</v>
      </c>
    </row>
    <row r="153" spans="1:33" x14ac:dyDescent="0.2">
      <c r="A153" s="2">
        <v>155</v>
      </c>
      <c r="B153" s="2" t="s">
        <v>482</v>
      </c>
      <c r="C153" s="2" t="s">
        <v>487</v>
      </c>
      <c r="D153" s="2" t="s">
        <v>121</v>
      </c>
      <c r="E153" s="2" t="s">
        <v>106</v>
      </c>
      <c r="F153" s="2" t="s">
        <v>78</v>
      </c>
      <c r="G153" s="2">
        <v>13</v>
      </c>
      <c r="H153" s="2">
        <v>19</v>
      </c>
      <c r="I153" s="4">
        <v>216.29654113053536</v>
      </c>
      <c r="J153" s="4">
        <v>17.946956528211761</v>
      </c>
      <c r="K153" s="2">
        <v>3</v>
      </c>
      <c r="L153" s="4">
        <v>145.95708166779093</v>
      </c>
      <c r="M153" s="4">
        <v>7.9617702971786901</v>
      </c>
      <c r="N153" s="2">
        <v>3</v>
      </c>
      <c r="O153" s="2" t="s">
        <v>75</v>
      </c>
      <c r="P153" s="2" t="s">
        <v>616</v>
      </c>
      <c r="R153" s="2" t="s">
        <v>73</v>
      </c>
      <c r="S153" s="2" t="s">
        <v>73</v>
      </c>
      <c r="T153" s="2" t="s">
        <v>73</v>
      </c>
      <c r="U153" s="2">
        <v>170</v>
      </c>
      <c r="V153" s="2" t="s">
        <v>73</v>
      </c>
      <c r="W153" s="2">
        <v>14</v>
      </c>
      <c r="X153" s="2">
        <v>30</v>
      </c>
      <c r="Y153" s="2" t="s">
        <v>98</v>
      </c>
      <c r="AB153" s="2" t="s">
        <v>116</v>
      </c>
      <c r="AE153" s="2" t="s">
        <v>483</v>
      </c>
      <c r="AF153" s="2" t="s">
        <v>73</v>
      </c>
      <c r="AG153" s="2" t="s">
        <v>484</v>
      </c>
    </row>
    <row r="154" spans="1:33" x14ac:dyDescent="0.2">
      <c r="A154" s="2">
        <v>156</v>
      </c>
      <c r="B154" s="2" t="s">
        <v>482</v>
      </c>
      <c r="C154" s="2" t="s">
        <v>487</v>
      </c>
      <c r="D154" s="2" t="s">
        <v>121</v>
      </c>
      <c r="E154" s="2" t="s">
        <v>106</v>
      </c>
      <c r="F154" s="2" t="s">
        <v>80</v>
      </c>
      <c r="G154" s="2">
        <v>13</v>
      </c>
      <c r="H154" s="2">
        <v>19</v>
      </c>
      <c r="I154" s="4">
        <v>12.550358050358057</v>
      </c>
      <c r="J154" s="4">
        <v>0.99361953451991369</v>
      </c>
      <c r="K154" s="2">
        <v>3</v>
      </c>
      <c r="L154" s="4">
        <v>12.050154320987668</v>
      </c>
      <c r="M154" s="4">
        <v>2.1991914361145373</v>
      </c>
      <c r="N154" s="2">
        <v>3</v>
      </c>
      <c r="O154" s="2" t="s">
        <v>75</v>
      </c>
      <c r="P154" s="2" t="s">
        <v>616</v>
      </c>
      <c r="R154" s="2" t="s">
        <v>73</v>
      </c>
      <c r="S154" s="2" t="s">
        <v>73</v>
      </c>
      <c r="T154" s="2" t="s">
        <v>73</v>
      </c>
      <c r="U154" s="2">
        <v>170</v>
      </c>
      <c r="V154" s="2" t="s">
        <v>73</v>
      </c>
      <c r="W154" s="2">
        <v>14</v>
      </c>
      <c r="X154" s="2">
        <v>30</v>
      </c>
      <c r="Y154" s="2" t="s">
        <v>98</v>
      </c>
      <c r="AB154" s="2" t="s">
        <v>116</v>
      </c>
      <c r="AE154" s="2" t="s">
        <v>483</v>
      </c>
      <c r="AF154" s="2" t="s">
        <v>73</v>
      </c>
      <c r="AG154" s="2" t="s">
        <v>484</v>
      </c>
    </row>
    <row r="155" spans="1:33" x14ac:dyDescent="0.2">
      <c r="A155" s="2">
        <v>165</v>
      </c>
      <c r="B155" s="2" t="s">
        <v>494</v>
      </c>
      <c r="C155" s="2" t="s">
        <v>237</v>
      </c>
      <c r="D155" s="2" t="s">
        <v>84</v>
      </c>
      <c r="E155" s="2" t="s">
        <v>85</v>
      </c>
      <c r="F155" s="2" t="s">
        <v>80</v>
      </c>
      <c r="G155" s="2">
        <v>13</v>
      </c>
      <c r="H155" s="4">
        <v>29</v>
      </c>
      <c r="I155" s="4">
        <v>10.7</v>
      </c>
      <c r="J155" s="4">
        <v>0.7</v>
      </c>
      <c r="K155" s="2">
        <v>3</v>
      </c>
      <c r="L155" s="4">
        <v>7.5</v>
      </c>
      <c r="M155" s="4">
        <v>0.3</v>
      </c>
      <c r="N155" s="2">
        <v>3</v>
      </c>
      <c r="O155" s="2" t="s">
        <v>75</v>
      </c>
      <c r="P155" s="2" t="s">
        <v>616</v>
      </c>
      <c r="R155" s="2" t="s">
        <v>73</v>
      </c>
      <c r="S155" s="2" t="s">
        <v>73</v>
      </c>
      <c r="T155" s="2" t="s">
        <v>73</v>
      </c>
      <c r="U155" s="2">
        <v>135</v>
      </c>
      <c r="V155" s="2" t="s">
        <v>73</v>
      </c>
      <c r="W155" s="2">
        <v>24</v>
      </c>
      <c r="Y155" s="2" t="s">
        <v>89</v>
      </c>
      <c r="Z155" s="2">
        <v>8</v>
      </c>
      <c r="AB155" s="2" t="s">
        <v>116</v>
      </c>
      <c r="AE155" s="2" t="s">
        <v>142</v>
      </c>
      <c r="AF155" s="2" t="s">
        <v>73</v>
      </c>
      <c r="AG155" s="2" t="s">
        <v>497</v>
      </c>
    </row>
    <row r="156" spans="1:33" x14ac:dyDescent="0.2">
      <c r="A156" s="2">
        <v>166</v>
      </c>
      <c r="B156" s="2" t="s">
        <v>494</v>
      </c>
      <c r="C156" s="2" t="s">
        <v>237</v>
      </c>
      <c r="D156" s="2" t="s">
        <v>84</v>
      </c>
      <c r="E156" s="2" t="s">
        <v>85</v>
      </c>
      <c r="F156" s="2" t="s">
        <v>80</v>
      </c>
      <c r="G156" s="2">
        <v>13</v>
      </c>
      <c r="H156" s="4">
        <v>29</v>
      </c>
      <c r="I156" s="4">
        <v>10</v>
      </c>
      <c r="J156" s="4">
        <v>0.9</v>
      </c>
      <c r="K156" s="2">
        <v>3</v>
      </c>
      <c r="L156" s="4">
        <v>9</v>
      </c>
      <c r="M156" s="4">
        <v>0.3</v>
      </c>
      <c r="N156" s="2">
        <v>3</v>
      </c>
      <c r="O156" s="2" t="s">
        <v>75</v>
      </c>
      <c r="P156" s="2" t="s">
        <v>616</v>
      </c>
      <c r="R156" s="2" t="s">
        <v>73</v>
      </c>
      <c r="S156" s="2" t="s">
        <v>73</v>
      </c>
      <c r="T156" s="2" t="s">
        <v>73</v>
      </c>
      <c r="U156" s="2">
        <v>135</v>
      </c>
      <c r="V156" s="2" t="s">
        <v>73</v>
      </c>
      <c r="W156" s="2">
        <v>24</v>
      </c>
      <c r="Y156" s="2" t="s">
        <v>89</v>
      </c>
      <c r="Z156" s="2">
        <v>8</v>
      </c>
      <c r="AB156" s="2" t="s">
        <v>117</v>
      </c>
      <c r="AE156" s="2" t="s">
        <v>142</v>
      </c>
      <c r="AF156" s="2" t="s">
        <v>73</v>
      </c>
      <c r="AG156" s="2" t="s">
        <v>498</v>
      </c>
    </row>
    <row r="157" spans="1:33" x14ac:dyDescent="0.2">
      <c r="A157" s="2">
        <v>167</v>
      </c>
      <c r="B157" s="2" t="s">
        <v>515</v>
      </c>
      <c r="C157" s="2" t="s">
        <v>237</v>
      </c>
      <c r="D157" s="2" t="s">
        <v>84</v>
      </c>
      <c r="E157" s="2" t="s">
        <v>85</v>
      </c>
      <c r="F157" s="2" t="s">
        <v>80</v>
      </c>
      <c r="G157" s="2">
        <v>15</v>
      </c>
      <c r="H157" s="2">
        <v>20</v>
      </c>
      <c r="I157" s="4">
        <v>22.6</v>
      </c>
      <c r="J157" s="4">
        <f>3.1*SQRT(2)</f>
        <v>4.3840620433565949</v>
      </c>
      <c r="K157" s="2">
        <v>2</v>
      </c>
      <c r="L157" s="4">
        <v>30.6</v>
      </c>
      <c r="M157" s="4">
        <f>0.5*SQRT(2)</f>
        <v>0.70710678118654757</v>
      </c>
      <c r="N157" s="2">
        <v>2</v>
      </c>
      <c r="O157" s="2" t="s">
        <v>75</v>
      </c>
      <c r="P157" s="2" t="s">
        <v>34</v>
      </c>
      <c r="R157" s="2" t="s">
        <v>73</v>
      </c>
      <c r="S157" s="2" t="s">
        <v>73</v>
      </c>
      <c r="T157" s="2" t="s">
        <v>73</v>
      </c>
      <c r="U157" s="2">
        <v>100</v>
      </c>
      <c r="V157" s="2" t="s">
        <v>73</v>
      </c>
      <c r="W157" s="2">
        <v>14</v>
      </c>
      <c r="Y157" s="2" t="s">
        <v>89</v>
      </c>
      <c r="Z157" s="2">
        <v>5</v>
      </c>
      <c r="AB157" s="2" t="s">
        <v>116</v>
      </c>
      <c r="AC157" s="2">
        <v>400</v>
      </c>
      <c r="AE157" s="2" t="s">
        <v>142</v>
      </c>
      <c r="AF157" s="2" t="s">
        <v>73</v>
      </c>
      <c r="AG157" s="2" t="s">
        <v>516</v>
      </c>
    </row>
    <row r="158" spans="1:33" x14ac:dyDescent="0.2">
      <c r="A158" s="2">
        <v>168</v>
      </c>
      <c r="B158" s="2" t="s">
        <v>515</v>
      </c>
      <c r="C158" s="2" t="s">
        <v>237</v>
      </c>
      <c r="D158" s="2" t="s">
        <v>84</v>
      </c>
      <c r="E158" s="2" t="s">
        <v>85</v>
      </c>
      <c r="F158" s="2" t="s">
        <v>80</v>
      </c>
      <c r="G158" s="2">
        <v>15</v>
      </c>
      <c r="H158" s="2">
        <v>20</v>
      </c>
      <c r="I158" s="4">
        <v>22.5</v>
      </c>
      <c r="J158" s="4">
        <f>0.4*SQRT(2)</f>
        <v>0.56568542494923812</v>
      </c>
      <c r="K158" s="2">
        <v>2</v>
      </c>
      <c r="L158" s="4">
        <v>27.9</v>
      </c>
      <c r="M158" s="4">
        <f>0.5*SQRT(2)</f>
        <v>0.70710678118654757</v>
      </c>
      <c r="N158" s="2">
        <v>2</v>
      </c>
      <c r="O158" s="2" t="s">
        <v>75</v>
      </c>
      <c r="P158" s="2" t="s">
        <v>34</v>
      </c>
      <c r="R158" s="2" t="s">
        <v>73</v>
      </c>
      <c r="S158" s="2" t="s">
        <v>73</v>
      </c>
      <c r="T158" s="2" t="s">
        <v>73</v>
      </c>
      <c r="U158" s="2">
        <v>100</v>
      </c>
      <c r="V158" s="2" t="s">
        <v>73</v>
      </c>
      <c r="W158" s="2">
        <v>14</v>
      </c>
      <c r="Y158" s="2" t="s">
        <v>89</v>
      </c>
      <c r="Z158" s="2">
        <v>5</v>
      </c>
      <c r="AB158" s="2" t="s">
        <v>116</v>
      </c>
      <c r="AC158" s="2">
        <v>1000</v>
      </c>
      <c r="AE158" s="2" t="s">
        <v>142</v>
      </c>
      <c r="AF158" s="2" t="s">
        <v>73</v>
      </c>
      <c r="AG158" s="2" t="s">
        <v>517</v>
      </c>
    </row>
    <row r="159" spans="1:33" x14ac:dyDescent="0.2">
      <c r="A159" s="2">
        <v>169</v>
      </c>
      <c r="B159" s="2" t="s">
        <v>522</v>
      </c>
      <c r="C159" s="2" t="s">
        <v>523</v>
      </c>
      <c r="D159" s="2" t="s">
        <v>84</v>
      </c>
      <c r="E159" s="2" t="s">
        <v>85</v>
      </c>
      <c r="F159" s="2" t="s">
        <v>78</v>
      </c>
      <c r="G159" s="2">
        <v>28</v>
      </c>
      <c r="H159" s="2">
        <v>31</v>
      </c>
      <c r="I159" s="4">
        <v>194.39</v>
      </c>
      <c r="J159" s="4">
        <f>22.22*SQRT(3)</f>
        <v>38.486168944180449</v>
      </c>
      <c r="K159" s="2">
        <v>3</v>
      </c>
      <c r="L159" s="4">
        <v>216.7</v>
      </c>
      <c r="M159" s="4">
        <f>23.75*SQRT(3)</f>
        <v>41.136206679760832</v>
      </c>
      <c r="N159" s="2">
        <v>3</v>
      </c>
      <c r="O159" s="2" t="s">
        <v>75</v>
      </c>
      <c r="R159" s="2" t="s">
        <v>73</v>
      </c>
      <c r="S159" s="2" t="s">
        <v>73</v>
      </c>
      <c r="T159" s="2" t="s">
        <v>73</v>
      </c>
      <c r="U159" s="2">
        <v>100</v>
      </c>
      <c r="V159" s="2" t="s">
        <v>73</v>
      </c>
      <c r="W159" s="2">
        <v>12</v>
      </c>
      <c r="Y159" s="2" t="s">
        <v>98</v>
      </c>
      <c r="Z159" s="2">
        <v>4</v>
      </c>
      <c r="AB159" s="2" t="s">
        <v>116</v>
      </c>
      <c r="AE159" s="2" t="s">
        <v>104</v>
      </c>
      <c r="AF159" s="2" t="s">
        <v>73</v>
      </c>
      <c r="AG159" s="2" t="s">
        <v>524</v>
      </c>
    </row>
    <row r="160" spans="1:33" x14ac:dyDescent="0.2">
      <c r="A160" s="2">
        <v>170</v>
      </c>
      <c r="B160" s="2" t="s">
        <v>522</v>
      </c>
      <c r="C160" s="2" t="s">
        <v>523</v>
      </c>
      <c r="D160" s="2" t="s">
        <v>84</v>
      </c>
      <c r="E160" s="2" t="s">
        <v>85</v>
      </c>
      <c r="F160" s="2" t="s">
        <v>80</v>
      </c>
      <c r="G160" s="2">
        <v>28</v>
      </c>
      <c r="H160" s="2">
        <v>31</v>
      </c>
      <c r="I160" s="4">
        <v>5.35</v>
      </c>
      <c r="J160" s="4">
        <f>0.39*SQRT(3)</f>
        <v>0.67549981495186218</v>
      </c>
      <c r="K160" s="2">
        <v>3</v>
      </c>
      <c r="L160" s="4">
        <v>5.87</v>
      </c>
      <c r="M160" s="4">
        <f>0.37*SQRT(3)</f>
        <v>0.64085879880048457</v>
      </c>
      <c r="N160" s="2">
        <v>3</v>
      </c>
      <c r="O160" s="2" t="s">
        <v>75</v>
      </c>
      <c r="R160" s="2" t="s">
        <v>73</v>
      </c>
      <c r="S160" s="2" t="s">
        <v>73</v>
      </c>
      <c r="T160" s="2" t="s">
        <v>73</v>
      </c>
      <c r="U160" s="2">
        <v>100</v>
      </c>
      <c r="V160" s="2" t="s">
        <v>73</v>
      </c>
      <c r="W160" s="2">
        <v>12</v>
      </c>
      <c r="Y160" s="2" t="s">
        <v>98</v>
      </c>
      <c r="Z160" s="2">
        <v>4</v>
      </c>
      <c r="AB160" s="2" t="s">
        <v>116</v>
      </c>
      <c r="AE160" s="2" t="s">
        <v>104</v>
      </c>
      <c r="AF160" s="2" t="s">
        <v>73</v>
      </c>
      <c r="AG160" s="2" t="s">
        <v>524</v>
      </c>
    </row>
    <row r="161" spans="1:33" x14ac:dyDescent="0.2">
      <c r="A161" s="2">
        <v>171</v>
      </c>
      <c r="B161" s="2" t="s">
        <v>590</v>
      </c>
      <c r="C161" s="2" t="s">
        <v>591</v>
      </c>
      <c r="D161" s="2" t="s">
        <v>84</v>
      </c>
      <c r="E161" s="2" t="s">
        <v>85</v>
      </c>
      <c r="F161" s="2" t="s">
        <v>80</v>
      </c>
      <c r="G161" s="10">
        <v>0</v>
      </c>
      <c r="H161" s="2">
        <v>4</v>
      </c>
      <c r="I161" s="4">
        <v>5.0999999999999996</v>
      </c>
      <c r="J161" s="4">
        <v>0.5</v>
      </c>
      <c r="K161" s="2">
        <v>3</v>
      </c>
      <c r="L161" s="4">
        <v>4.9000000000000004</v>
      </c>
      <c r="M161" s="4">
        <v>0.8</v>
      </c>
      <c r="N161" s="2">
        <v>3</v>
      </c>
      <c r="O161" s="2" t="s">
        <v>75</v>
      </c>
      <c r="P161" s="2" t="s">
        <v>34</v>
      </c>
      <c r="R161" s="2" t="s">
        <v>87</v>
      </c>
      <c r="S161" s="2" t="s">
        <v>87</v>
      </c>
      <c r="T161" s="2" t="s">
        <v>87</v>
      </c>
      <c r="U161" s="2">
        <v>80</v>
      </c>
      <c r="V161" s="2" t="s">
        <v>73</v>
      </c>
      <c r="W161" s="2">
        <v>24</v>
      </c>
      <c r="Y161" s="2" t="s">
        <v>98</v>
      </c>
      <c r="AB161" s="2" t="s">
        <v>116</v>
      </c>
      <c r="AE161" s="2" t="s">
        <v>142</v>
      </c>
      <c r="AF161" s="2" t="s">
        <v>73</v>
      </c>
      <c r="AG161" s="2" t="s">
        <v>598</v>
      </c>
    </row>
    <row r="162" spans="1:33" x14ac:dyDescent="0.2">
      <c r="A162" s="2">
        <v>172</v>
      </c>
      <c r="B162" s="2" t="s">
        <v>590</v>
      </c>
      <c r="C162" s="2" t="s">
        <v>591</v>
      </c>
      <c r="D162" s="2" t="s">
        <v>84</v>
      </c>
      <c r="E162" s="2" t="s">
        <v>85</v>
      </c>
      <c r="F162" s="2" t="s">
        <v>78</v>
      </c>
      <c r="G162" s="10">
        <v>0</v>
      </c>
      <c r="H162" s="2">
        <v>4</v>
      </c>
      <c r="I162" s="4">
        <v>92.4</v>
      </c>
      <c r="J162" s="4">
        <v>17.899999999999999</v>
      </c>
      <c r="K162" s="2">
        <v>3</v>
      </c>
      <c r="L162" s="4">
        <v>136.4</v>
      </c>
      <c r="M162" s="4">
        <v>4.3</v>
      </c>
      <c r="N162" s="2">
        <v>3</v>
      </c>
      <c r="O162" s="2" t="s">
        <v>75</v>
      </c>
      <c r="P162" s="2" t="s">
        <v>34</v>
      </c>
      <c r="R162" s="2" t="s">
        <v>87</v>
      </c>
      <c r="S162" s="2" t="s">
        <v>87</v>
      </c>
      <c r="T162" s="2" t="s">
        <v>87</v>
      </c>
      <c r="U162" s="2">
        <v>80</v>
      </c>
      <c r="V162" s="2" t="s">
        <v>73</v>
      </c>
      <c r="W162" s="2">
        <v>24</v>
      </c>
      <c r="Y162" s="2" t="s">
        <v>98</v>
      </c>
      <c r="AB162" s="2" t="s">
        <v>116</v>
      </c>
      <c r="AE162" s="2" t="s">
        <v>142</v>
      </c>
      <c r="AF162" s="2" t="s">
        <v>73</v>
      </c>
      <c r="AG162" s="2" t="s">
        <v>598</v>
      </c>
    </row>
    <row r="163" spans="1:33" x14ac:dyDescent="0.2">
      <c r="A163" s="2">
        <v>173</v>
      </c>
      <c r="B163" s="2" t="s">
        <v>590</v>
      </c>
      <c r="C163" s="2" t="s">
        <v>591</v>
      </c>
      <c r="D163" s="2" t="s">
        <v>84</v>
      </c>
      <c r="E163" s="2" t="s">
        <v>85</v>
      </c>
      <c r="F163" s="2" t="s">
        <v>80</v>
      </c>
      <c r="G163" s="10">
        <v>0</v>
      </c>
      <c r="H163" s="2">
        <v>4</v>
      </c>
      <c r="I163" s="4">
        <v>6.9</v>
      </c>
      <c r="J163" s="4">
        <v>0.4</v>
      </c>
      <c r="K163" s="2">
        <v>3</v>
      </c>
      <c r="L163" s="4">
        <v>6.3</v>
      </c>
      <c r="M163" s="4">
        <v>0.2</v>
      </c>
      <c r="N163" s="2">
        <v>3</v>
      </c>
      <c r="O163" s="2" t="s">
        <v>75</v>
      </c>
      <c r="P163" s="2" t="s">
        <v>34</v>
      </c>
      <c r="R163" s="2" t="s">
        <v>87</v>
      </c>
      <c r="S163" s="2" t="s">
        <v>87</v>
      </c>
      <c r="T163" s="2" t="s">
        <v>73</v>
      </c>
      <c r="U163" s="2">
        <v>80</v>
      </c>
      <c r="V163" s="2" t="s">
        <v>73</v>
      </c>
      <c r="W163" s="2">
        <v>24</v>
      </c>
      <c r="Y163" s="2" t="s">
        <v>98</v>
      </c>
      <c r="AB163" s="2" t="s">
        <v>116</v>
      </c>
      <c r="AE163" s="2" t="s">
        <v>142</v>
      </c>
      <c r="AF163" s="2" t="s">
        <v>73</v>
      </c>
      <c r="AG163" s="2" t="s">
        <v>599</v>
      </c>
    </row>
    <row r="164" spans="1:33" x14ac:dyDescent="0.2">
      <c r="A164" s="2">
        <v>174</v>
      </c>
      <c r="B164" s="2" t="s">
        <v>590</v>
      </c>
      <c r="C164" s="2" t="s">
        <v>591</v>
      </c>
      <c r="D164" s="2" t="s">
        <v>84</v>
      </c>
      <c r="E164" s="2" t="s">
        <v>85</v>
      </c>
      <c r="F164" s="2" t="s">
        <v>78</v>
      </c>
      <c r="G164" s="10">
        <v>0</v>
      </c>
      <c r="H164" s="2">
        <v>4</v>
      </c>
      <c r="I164" s="4">
        <v>147</v>
      </c>
      <c r="J164" s="4">
        <v>6.4</v>
      </c>
      <c r="K164" s="2">
        <v>3</v>
      </c>
      <c r="L164" s="4">
        <v>241.6</v>
      </c>
      <c r="M164" s="4">
        <v>13.7</v>
      </c>
      <c r="N164" s="2">
        <v>3</v>
      </c>
      <c r="O164" s="2" t="s">
        <v>75</v>
      </c>
      <c r="P164" s="2" t="s">
        <v>34</v>
      </c>
      <c r="R164" s="2" t="s">
        <v>87</v>
      </c>
      <c r="S164" s="2" t="s">
        <v>87</v>
      </c>
      <c r="T164" s="2" t="s">
        <v>73</v>
      </c>
      <c r="U164" s="2">
        <v>80</v>
      </c>
      <c r="V164" s="2" t="s">
        <v>73</v>
      </c>
      <c r="W164" s="2">
        <v>24</v>
      </c>
      <c r="Y164" s="2" t="s">
        <v>98</v>
      </c>
      <c r="AB164" s="2" t="s">
        <v>116</v>
      </c>
      <c r="AE164" s="2" t="s">
        <v>142</v>
      </c>
      <c r="AF164" s="2" t="s">
        <v>73</v>
      </c>
      <c r="AG164" s="2" t="s">
        <v>599</v>
      </c>
    </row>
    <row r="165" spans="1:33" x14ac:dyDescent="0.2">
      <c r="A165" s="2">
        <v>175</v>
      </c>
      <c r="B165" s="2" t="s">
        <v>590</v>
      </c>
      <c r="C165" s="2" t="s">
        <v>591</v>
      </c>
      <c r="D165" s="2" t="s">
        <v>84</v>
      </c>
      <c r="E165" s="2" t="s">
        <v>85</v>
      </c>
      <c r="F165" s="2" t="s">
        <v>80</v>
      </c>
      <c r="G165" s="10">
        <v>0</v>
      </c>
      <c r="H165" s="2">
        <v>4</v>
      </c>
      <c r="I165" s="4">
        <v>6.5</v>
      </c>
      <c r="J165" s="4">
        <v>0.5</v>
      </c>
      <c r="K165" s="2">
        <v>3</v>
      </c>
      <c r="L165" s="4">
        <v>6.6</v>
      </c>
      <c r="M165" s="4">
        <v>0.3</v>
      </c>
      <c r="N165" s="2">
        <v>3</v>
      </c>
      <c r="O165" s="2" t="s">
        <v>75</v>
      </c>
      <c r="P165" s="2" t="s">
        <v>34</v>
      </c>
      <c r="R165" s="2" t="s">
        <v>73</v>
      </c>
      <c r="S165" s="2" t="s">
        <v>73</v>
      </c>
      <c r="T165" s="2" t="s">
        <v>87</v>
      </c>
      <c r="U165" s="2">
        <v>80</v>
      </c>
      <c r="V165" s="2" t="s">
        <v>73</v>
      </c>
      <c r="W165" s="2">
        <v>24</v>
      </c>
      <c r="Y165" s="2" t="s">
        <v>98</v>
      </c>
      <c r="AB165" s="2" t="s">
        <v>116</v>
      </c>
      <c r="AE165" s="2" t="s">
        <v>142</v>
      </c>
      <c r="AF165" s="2" t="s">
        <v>73</v>
      </c>
      <c r="AG165" s="2" t="s">
        <v>600</v>
      </c>
    </row>
    <row r="166" spans="1:33" x14ac:dyDescent="0.2">
      <c r="A166" s="2">
        <v>176</v>
      </c>
      <c r="B166" s="2" t="s">
        <v>590</v>
      </c>
      <c r="C166" s="2" t="s">
        <v>591</v>
      </c>
      <c r="D166" s="2" t="s">
        <v>84</v>
      </c>
      <c r="E166" s="2" t="s">
        <v>85</v>
      </c>
      <c r="F166" s="2" t="s">
        <v>78</v>
      </c>
      <c r="G166" s="10">
        <v>0</v>
      </c>
      <c r="H166" s="2">
        <v>4</v>
      </c>
      <c r="I166" s="4">
        <v>90.6</v>
      </c>
      <c r="J166" s="4">
        <v>6.5</v>
      </c>
      <c r="K166" s="2">
        <v>3</v>
      </c>
      <c r="L166" s="4">
        <v>102.1</v>
      </c>
      <c r="M166" s="4">
        <v>4.5</v>
      </c>
      <c r="N166" s="2">
        <v>3</v>
      </c>
      <c r="O166" s="2" t="s">
        <v>75</v>
      </c>
      <c r="P166" s="2" t="s">
        <v>34</v>
      </c>
      <c r="R166" s="2" t="s">
        <v>73</v>
      </c>
      <c r="S166" s="2" t="s">
        <v>73</v>
      </c>
      <c r="T166" s="2" t="s">
        <v>87</v>
      </c>
      <c r="U166" s="2">
        <v>80</v>
      </c>
      <c r="V166" s="2" t="s">
        <v>73</v>
      </c>
      <c r="W166" s="2">
        <v>24</v>
      </c>
      <c r="Y166" s="2" t="s">
        <v>98</v>
      </c>
      <c r="AB166" s="2" t="s">
        <v>116</v>
      </c>
      <c r="AE166" s="2" t="s">
        <v>142</v>
      </c>
      <c r="AF166" s="2" t="s">
        <v>73</v>
      </c>
      <c r="AG166" s="2" t="s">
        <v>600</v>
      </c>
    </row>
    <row r="167" spans="1:33" x14ac:dyDescent="0.2">
      <c r="A167" s="2">
        <v>177</v>
      </c>
      <c r="B167" s="2" t="s">
        <v>590</v>
      </c>
      <c r="C167" s="2" t="s">
        <v>591</v>
      </c>
      <c r="D167" s="2" t="s">
        <v>84</v>
      </c>
      <c r="E167" s="2" t="s">
        <v>85</v>
      </c>
      <c r="F167" s="2" t="s">
        <v>80</v>
      </c>
      <c r="G167" s="10">
        <v>0</v>
      </c>
      <c r="H167" s="2">
        <v>4</v>
      </c>
      <c r="I167" s="4">
        <v>6.9</v>
      </c>
      <c r="J167" s="4">
        <v>0.2</v>
      </c>
      <c r="K167" s="2">
        <v>3</v>
      </c>
      <c r="L167" s="4">
        <v>6.8</v>
      </c>
      <c r="M167" s="4">
        <v>0.1</v>
      </c>
      <c r="N167" s="2">
        <v>3</v>
      </c>
      <c r="O167" s="2" t="s">
        <v>75</v>
      </c>
      <c r="P167" s="2" t="s">
        <v>34</v>
      </c>
      <c r="R167" s="2" t="s">
        <v>73</v>
      </c>
      <c r="S167" s="2" t="s">
        <v>73</v>
      </c>
      <c r="T167" s="2" t="s">
        <v>73</v>
      </c>
      <c r="U167" s="2">
        <v>80</v>
      </c>
      <c r="V167" s="2" t="s">
        <v>73</v>
      </c>
      <c r="W167" s="2">
        <v>24</v>
      </c>
      <c r="Y167" s="2" t="s">
        <v>98</v>
      </c>
      <c r="AB167" s="2" t="s">
        <v>116</v>
      </c>
      <c r="AE167" s="2" t="s">
        <v>142</v>
      </c>
      <c r="AF167" s="2" t="s">
        <v>73</v>
      </c>
      <c r="AG167" s="2" t="s">
        <v>601</v>
      </c>
    </row>
    <row r="168" spans="1:33" x14ac:dyDescent="0.2">
      <c r="A168" s="2">
        <v>178</v>
      </c>
      <c r="B168" s="2" t="s">
        <v>590</v>
      </c>
      <c r="C168" s="2" t="s">
        <v>591</v>
      </c>
      <c r="D168" s="2" t="s">
        <v>84</v>
      </c>
      <c r="E168" s="2" t="s">
        <v>85</v>
      </c>
      <c r="F168" s="2" t="s">
        <v>78</v>
      </c>
      <c r="G168" s="10">
        <v>0</v>
      </c>
      <c r="H168" s="2">
        <v>4</v>
      </c>
      <c r="I168" s="4">
        <v>80.099999999999994</v>
      </c>
      <c r="J168" s="4">
        <v>17.600000000000001</v>
      </c>
      <c r="K168" s="2">
        <v>3</v>
      </c>
      <c r="L168" s="4">
        <v>80.900000000000006</v>
      </c>
      <c r="M168" s="4">
        <v>2.5</v>
      </c>
      <c r="N168" s="2">
        <v>3</v>
      </c>
      <c r="O168" s="2" t="s">
        <v>75</v>
      </c>
      <c r="P168" s="2" t="s">
        <v>34</v>
      </c>
      <c r="R168" s="2" t="s">
        <v>73</v>
      </c>
      <c r="S168" s="2" t="s">
        <v>73</v>
      </c>
      <c r="T168" s="2" t="s">
        <v>73</v>
      </c>
      <c r="U168" s="2">
        <v>80</v>
      </c>
      <c r="V168" s="2" t="s">
        <v>73</v>
      </c>
      <c r="W168" s="2">
        <v>24</v>
      </c>
      <c r="Y168" s="2" t="s">
        <v>98</v>
      </c>
      <c r="AB168" s="2" t="s">
        <v>116</v>
      </c>
      <c r="AE168" s="2" t="s">
        <v>142</v>
      </c>
      <c r="AF168" s="2" t="s">
        <v>73</v>
      </c>
      <c r="AG168" s="2" t="s">
        <v>601</v>
      </c>
    </row>
    <row r="169" spans="1:33" x14ac:dyDescent="0.2">
      <c r="A169" s="2">
        <v>179</v>
      </c>
      <c r="B169" s="2" t="s">
        <v>590</v>
      </c>
      <c r="C169" s="2" t="s">
        <v>596</v>
      </c>
      <c r="D169" s="2" t="s">
        <v>84</v>
      </c>
      <c r="E169" s="2" t="s">
        <v>85</v>
      </c>
      <c r="F169" s="2" t="s">
        <v>80</v>
      </c>
      <c r="G169" s="10">
        <v>0</v>
      </c>
      <c r="H169" s="2">
        <v>4</v>
      </c>
      <c r="I169" s="4">
        <v>6.5</v>
      </c>
      <c r="J169" s="4">
        <v>0.5</v>
      </c>
      <c r="K169" s="2">
        <v>3</v>
      </c>
      <c r="L169" s="4">
        <v>6.6</v>
      </c>
      <c r="M169" s="4">
        <v>0</v>
      </c>
      <c r="N169" s="2">
        <v>3</v>
      </c>
      <c r="O169" s="2" t="s">
        <v>75</v>
      </c>
      <c r="P169" s="2" t="s">
        <v>34</v>
      </c>
      <c r="R169" s="2" t="s">
        <v>87</v>
      </c>
      <c r="S169" s="2" t="s">
        <v>87</v>
      </c>
      <c r="T169" s="2" t="s">
        <v>87</v>
      </c>
      <c r="U169" s="2">
        <v>80</v>
      </c>
      <c r="V169" s="2" t="s">
        <v>73</v>
      </c>
      <c r="W169" s="2">
        <v>24</v>
      </c>
      <c r="Y169" s="2" t="s">
        <v>98</v>
      </c>
      <c r="AB169" s="2" t="s">
        <v>116</v>
      </c>
      <c r="AE169" s="2" t="s">
        <v>142</v>
      </c>
      <c r="AF169" s="2" t="s">
        <v>73</v>
      </c>
      <c r="AG169" s="2" t="s">
        <v>598</v>
      </c>
    </row>
    <row r="170" spans="1:33" x14ac:dyDescent="0.2">
      <c r="A170" s="2">
        <v>180</v>
      </c>
      <c r="B170" s="2" t="s">
        <v>590</v>
      </c>
      <c r="C170" s="2" t="s">
        <v>596</v>
      </c>
      <c r="D170" s="2" t="s">
        <v>84</v>
      </c>
      <c r="E170" s="2" t="s">
        <v>85</v>
      </c>
      <c r="F170" s="2" t="s">
        <v>78</v>
      </c>
      <c r="G170" s="10">
        <v>0</v>
      </c>
      <c r="H170" s="2">
        <v>4</v>
      </c>
      <c r="I170" s="4">
        <v>151.5</v>
      </c>
      <c r="J170" s="4">
        <v>43.9</v>
      </c>
      <c r="K170" s="2">
        <v>3</v>
      </c>
      <c r="L170" s="4">
        <v>128.4</v>
      </c>
      <c r="M170" s="4">
        <v>3.5</v>
      </c>
      <c r="N170" s="2">
        <v>3</v>
      </c>
      <c r="O170" s="2" t="s">
        <v>75</v>
      </c>
      <c r="P170" s="2" t="s">
        <v>34</v>
      </c>
      <c r="R170" s="2" t="s">
        <v>87</v>
      </c>
      <c r="S170" s="2" t="s">
        <v>87</v>
      </c>
      <c r="T170" s="2" t="s">
        <v>87</v>
      </c>
      <c r="U170" s="2">
        <v>80</v>
      </c>
      <c r="V170" s="2" t="s">
        <v>73</v>
      </c>
      <c r="W170" s="2">
        <v>24</v>
      </c>
      <c r="Y170" s="2" t="s">
        <v>98</v>
      </c>
      <c r="AB170" s="2" t="s">
        <v>116</v>
      </c>
      <c r="AE170" s="2" t="s">
        <v>142</v>
      </c>
      <c r="AF170" s="2" t="s">
        <v>73</v>
      </c>
      <c r="AG170" s="2" t="s">
        <v>598</v>
      </c>
    </row>
    <row r="171" spans="1:33" x14ac:dyDescent="0.2">
      <c r="A171" s="2">
        <v>181</v>
      </c>
      <c r="B171" s="2" t="s">
        <v>590</v>
      </c>
      <c r="C171" s="2" t="s">
        <v>596</v>
      </c>
      <c r="D171" s="2" t="s">
        <v>84</v>
      </c>
      <c r="E171" s="2" t="s">
        <v>85</v>
      </c>
      <c r="F171" s="2" t="s">
        <v>80</v>
      </c>
      <c r="G171" s="10">
        <v>0</v>
      </c>
      <c r="H171" s="2">
        <v>4</v>
      </c>
      <c r="I171" s="4">
        <v>7.9</v>
      </c>
      <c r="J171" s="4">
        <v>0.6</v>
      </c>
      <c r="K171" s="2">
        <v>3</v>
      </c>
      <c r="L171" s="4">
        <v>7.3</v>
      </c>
      <c r="M171" s="4">
        <v>0.3</v>
      </c>
      <c r="N171" s="2">
        <v>3</v>
      </c>
      <c r="O171" s="2" t="s">
        <v>75</v>
      </c>
      <c r="P171" s="2" t="s">
        <v>34</v>
      </c>
      <c r="R171" s="2" t="s">
        <v>87</v>
      </c>
      <c r="S171" s="2" t="s">
        <v>87</v>
      </c>
      <c r="T171" s="2" t="s">
        <v>73</v>
      </c>
      <c r="U171" s="2">
        <v>80</v>
      </c>
      <c r="V171" s="2" t="s">
        <v>73</v>
      </c>
      <c r="W171" s="2">
        <v>24</v>
      </c>
      <c r="Y171" s="2" t="s">
        <v>98</v>
      </c>
      <c r="AB171" s="2" t="s">
        <v>116</v>
      </c>
      <c r="AE171" s="2" t="s">
        <v>142</v>
      </c>
      <c r="AF171" s="2" t="s">
        <v>73</v>
      </c>
      <c r="AG171" s="2" t="s">
        <v>599</v>
      </c>
    </row>
    <row r="172" spans="1:33" x14ac:dyDescent="0.2">
      <c r="A172" s="2">
        <v>182</v>
      </c>
      <c r="B172" s="2" t="s">
        <v>590</v>
      </c>
      <c r="C172" s="2" t="s">
        <v>596</v>
      </c>
      <c r="D172" s="2" t="s">
        <v>84</v>
      </c>
      <c r="E172" s="2" t="s">
        <v>85</v>
      </c>
      <c r="F172" s="2" t="s">
        <v>78</v>
      </c>
      <c r="G172" s="10">
        <v>0</v>
      </c>
      <c r="H172" s="2">
        <v>4</v>
      </c>
      <c r="I172" s="4">
        <v>147.5</v>
      </c>
      <c r="J172" s="4">
        <v>6</v>
      </c>
      <c r="K172" s="2">
        <v>3</v>
      </c>
      <c r="L172" s="4">
        <v>118.3</v>
      </c>
      <c r="M172" s="4">
        <v>6.8</v>
      </c>
      <c r="N172" s="2">
        <v>3</v>
      </c>
      <c r="O172" s="2" t="s">
        <v>75</v>
      </c>
      <c r="P172" s="2" t="s">
        <v>34</v>
      </c>
      <c r="R172" s="2" t="s">
        <v>87</v>
      </c>
      <c r="S172" s="2" t="s">
        <v>87</v>
      </c>
      <c r="T172" s="2" t="s">
        <v>73</v>
      </c>
      <c r="U172" s="2">
        <v>80</v>
      </c>
      <c r="V172" s="2" t="s">
        <v>73</v>
      </c>
      <c r="W172" s="2">
        <v>24</v>
      </c>
      <c r="Y172" s="2" t="s">
        <v>98</v>
      </c>
      <c r="AB172" s="2" t="s">
        <v>116</v>
      </c>
      <c r="AE172" s="2" t="s">
        <v>142</v>
      </c>
      <c r="AF172" s="2" t="s">
        <v>73</v>
      </c>
      <c r="AG172" s="2" t="s">
        <v>599</v>
      </c>
    </row>
    <row r="173" spans="1:33" x14ac:dyDescent="0.2">
      <c r="A173" s="2">
        <v>183</v>
      </c>
      <c r="B173" s="2" t="s">
        <v>590</v>
      </c>
      <c r="C173" s="2" t="s">
        <v>587</v>
      </c>
      <c r="D173" s="2" t="s">
        <v>84</v>
      </c>
      <c r="E173" s="2" t="s">
        <v>85</v>
      </c>
      <c r="F173" s="2" t="s">
        <v>80</v>
      </c>
      <c r="G173" s="10">
        <v>0</v>
      </c>
      <c r="H173" s="2">
        <v>4</v>
      </c>
      <c r="I173" s="4">
        <v>6.3</v>
      </c>
      <c r="J173" s="4">
        <v>0.3</v>
      </c>
      <c r="K173" s="2">
        <v>3</v>
      </c>
      <c r="L173" s="4">
        <v>7</v>
      </c>
      <c r="M173" s="4">
        <v>0.4</v>
      </c>
      <c r="N173" s="2">
        <v>3</v>
      </c>
      <c r="O173" s="2" t="s">
        <v>75</v>
      </c>
      <c r="P173" s="2" t="s">
        <v>34</v>
      </c>
      <c r="R173" s="2" t="s">
        <v>73</v>
      </c>
      <c r="S173" s="2" t="s">
        <v>73</v>
      </c>
      <c r="T173" s="2" t="s">
        <v>87</v>
      </c>
      <c r="U173" s="2">
        <v>80</v>
      </c>
      <c r="V173" s="2" t="s">
        <v>73</v>
      </c>
      <c r="W173" s="2">
        <v>24</v>
      </c>
      <c r="Y173" s="2" t="s">
        <v>98</v>
      </c>
      <c r="AB173" s="2" t="s">
        <v>116</v>
      </c>
      <c r="AE173" s="2" t="s">
        <v>142</v>
      </c>
      <c r="AF173" s="2" t="s">
        <v>73</v>
      </c>
      <c r="AG173" s="2" t="s">
        <v>600</v>
      </c>
    </row>
    <row r="174" spans="1:33" x14ac:dyDescent="0.2">
      <c r="A174" s="2">
        <v>184</v>
      </c>
      <c r="B174" s="2" t="s">
        <v>590</v>
      </c>
      <c r="C174" s="2" t="s">
        <v>587</v>
      </c>
      <c r="D174" s="2" t="s">
        <v>84</v>
      </c>
      <c r="E174" s="2" t="s">
        <v>85</v>
      </c>
      <c r="F174" s="2" t="s">
        <v>78</v>
      </c>
      <c r="G174" s="10">
        <v>0</v>
      </c>
      <c r="H174" s="2">
        <v>4</v>
      </c>
      <c r="I174" s="4">
        <v>75.900000000000006</v>
      </c>
      <c r="J174" s="4">
        <v>2.7</v>
      </c>
      <c r="K174" s="2">
        <v>3</v>
      </c>
      <c r="L174" s="4">
        <v>63.2</v>
      </c>
      <c r="M174" s="4">
        <v>6.5</v>
      </c>
      <c r="N174" s="2">
        <v>3</v>
      </c>
      <c r="O174" s="2" t="s">
        <v>75</v>
      </c>
      <c r="P174" s="2" t="s">
        <v>34</v>
      </c>
      <c r="R174" s="2" t="s">
        <v>73</v>
      </c>
      <c r="S174" s="2" t="s">
        <v>73</v>
      </c>
      <c r="T174" s="2" t="s">
        <v>87</v>
      </c>
      <c r="U174" s="2">
        <v>80</v>
      </c>
      <c r="V174" s="2" t="s">
        <v>73</v>
      </c>
      <c r="W174" s="2">
        <v>24</v>
      </c>
      <c r="Y174" s="2" t="s">
        <v>98</v>
      </c>
      <c r="AB174" s="2" t="s">
        <v>116</v>
      </c>
      <c r="AE174" s="2" t="s">
        <v>142</v>
      </c>
      <c r="AF174" s="2" t="s">
        <v>73</v>
      </c>
      <c r="AG174" s="2" t="s">
        <v>600</v>
      </c>
    </row>
    <row r="175" spans="1:33" x14ac:dyDescent="0.2">
      <c r="A175" s="2">
        <v>185</v>
      </c>
      <c r="B175" s="2" t="s">
        <v>590</v>
      </c>
      <c r="C175" s="2" t="s">
        <v>587</v>
      </c>
      <c r="D175" s="2" t="s">
        <v>84</v>
      </c>
      <c r="E175" s="2" t="s">
        <v>85</v>
      </c>
      <c r="F175" s="2" t="s">
        <v>80</v>
      </c>
      <c r="G175" s="10">
        <v>0</v>
      </c>
      <c r="H175" s="2">
        <v>4</v>
      </c>
      <c r="I175" s="4">
        <v>7</v>
      </c>
      <c r="J175" s="4">
        <v>0</v>
      </c>
      <c r="K175" s="2">
        <v>3</v>
      </c>
      <c r="L175" s="4">
        <v>6.9</v>
      </c>
      <c r="M175" s="4">
        <v>0.1</v>
      </c>
      <c r="N175" s="2">
        <v>3</v>
      </c>
      <c r="O175" s="2" t="s">
        <v>75</v>
      </c>
      <c r="P175" s="2" t="s">
        <v>34</v>
      </c>
      <c r="R175" s="2" t="s">
        <v>73</v>
      </c>
      <c r="S175" s="2" t="s">
        <v>73</v>
      </c>
      <c r="T175" s="2" t="s">
        <v>73</v>
      </c>
      <c r="U175" s="2">
        <v>80</v>
      </c>
      <c r="V175" s="2" t="s">
        <v>73</v>
      </c>
      <c r="W175" s="2">
        <v>24</v>
      </c>
      <c r="Y175" s="2" t="s">
        <v>98</v>
      </c>
      <c r="AB175" s="2" t="s">
        <v>116</v>
      </c>
      <c r="AE175" s="2" t="s">
        <v>142</v>
      </c>
      <c r="AF175" s="2" t="s">
        <v>73</v>
      </c>
      <c r="AG175" s="2" t="s">
        <v>601</v>
      </c>
    </row>
    <row r="176" spans="1:33" x14ac:dyDescent="0.2">
      <c r="A176" s="2">
        <v>186</v>
      </c>
      <c r="B176" s="2" t="s">
        <v>590</v>
      </c>
      <c r="C176" s="2" t="s">
        <v>587</v>
      </c>
      <c r="D176" s="2" t="s">
        <v>84</v>
      </c>
      <c r="E176" s="2" t="s">
        <v>85</v>
      </c>
      <c r="F176" s="2" t="s">
        <v>78</v>
      </c>
      <c r="G176" s="10">
        <v>0</v>
      </c>
      <c r="H176" s="2">
        <v>4</v>
      </c>
      <c r="I176" s="4">
        <v>85</v>
      </c>
      <c r="J176" s="4">
        <v>6.7</v>
      </c>
      <c r="K176" s="2">
        <v>3</v>
      </c>
      <c r="L176" s="4">
        <v>82</v>
      </c>
      <c r="M176" s="4">
        <v>3.5</v>
      </c>
      <c r="N176" s="2">
        <v>3</v>
      </c>
      <c r="O176" s="2" t="s">
        <v>75</v>
      </c>
      <c r="P176" s="2" t="s">
        <v>34</v>
      </c>
      <c r="R176" s="2" t="s">
        <v>73</v>
      </c>
      <c r="S176" s="2" t="s">
        <v>73</v>
      </c>
      <c r="T176" s="2" t="s">
        <v>73</v>
      </c>
      <c r="U176" s="2">
        <v>80</v>
      </c>
      <c r="V176" s="2" t="s">
        <v>73</v>
      </c>
      <c r="W176" s="2">
        <v>24</v>
      </c>
      <c r="Y176" s="2" t="s">
        <v>98</v>
      </c>
      <c r="AB176" s="2" t="s">
        <v>116</v>
      </c>
      <c r="AE176" s="2" t="s">
        <v>142</v>
      </c>
      <c r="AF176" s="2" t="s">
        <v>73</v>
      </c>
      <c r="AG176" s="2" t="s">
        <v>601</v>
      </c>
    </row>
    <row r="177" spans="1:33" x14ac:dyDescent="0.2">
      <c r="A177" s="2">
        <v>187</v>
      </c>
      <c r="B177" s="2" t="s">
        <v>602</v>
      </c>
      <c r="C177" s="2" t="s">
        <v>591</v>
      </c>
      <c r="D177" s="2" t="s">
        <v>84</v>
      </c>
      <c r="E177" s="2" t="s">
        <v>85</v>
      </c>
      <c r="F177" s="2" t="s">
        <v>78</v>
      </c>
      <c r="G177" s="2">
        <v>0</v>
      </c>
      <c r="H177" s="2">
        <v>8</v>
      </c>
      <c r="I177" s="4">
        <v>80.033000000000001</v>
      </c>
      <c r="J177" s="4">
        <v>4.6659999999999968</v>
      </c>
      <c r="K177" s="2">
        <v>3</v>
      </c>
      <c r="L177" s="4">
        <v>84.733000000000004</v>
      </c>
      <c r="M177" s="4">
        <v>2.7449999999999903</v>
      </c>
      <c r="N177" s="2">
        <v>3</v>
      </c>
      <c r="O177" s="2" t="s">
        <v>75</v>
      </c>
      <c r="P177" s="2" t="s">
        <v>616</v>
      </c>
      <c r="R177" s="2" t="s">
        <v>73</v>
      </c>
      <c r="S177" s="2" t="s">
        <v>73</v>
      </c>
      <c r="T177" s="2" t="s">
        <v>73</v>
      </c>
      <c r="U177" s="2">
        <v>80</v>
      </c>
      <c r="V177" s="2" t="s">
        <v>73</v>
      </c>
      <c r="W177" s="2">
        <v>24</v>
      </c>
      <c r="Y177" s="2" t="s">
        <v>98</v>
      </c>
      <c r="AB177" s="2" t="s">
        <v>116</v>
      </c>
      <c r="AE177" s="2" t="s">
        <v>189</v>
      </c>
      <c r="AF177" s="2" t="s">
        <v>87</v>
      </c>
      <c r="AG177" s="2" t="s">
        <v>603</v>
      </c>
    </row>
    <row r="178" spans="1:33" x14ac:dyDescent="0.2">
      <c r="A178" s="2">
        <v>188</v>
      </c>
      <c r="B178" s="2" t="s">
        <v>602</v>
      </c>
      <c r="C178" s="2" t="s">
        <v>591</v>
      </c>
      <c r="D178" s="2" t="s">
        <v>84</v>
      </c>
      <c r="E178" s="2" t="s">
        <v>85</v>
      </c>
      <c r="F178" s="2" t="s">
        <v>80</v>
      </c>
      <c r="G178" s="2">
        <v>0</v>
      </c>
      <c r="H178" s="2">
        <v>8</v>
      </c>
      <c r="I178" s="4">
        <v>7.125</v>
      </c>
      <c r="J178" s="4">
        <v>0.23200000000000021</v>
      </c>
      <c r="K178" s="2">
        <v>3</v>
      </c>
      <c r="L178" s="4">
        <v>6.4859999999999998</v>
      </c>
      <c r="M178" s="4">
        <v>0.5</v>
      </c>
      <c r="N178" s="2">
        <v>3</v>
      </c>
      <c r="O178" s="2" t="s">
        <v>75</v>
      </c>
      <c r="P178" s="2" t="s">
        <v>616</v>
      </c>
      <c r="R178" s="2" t="s">
        <v>73</v>
      </c>
      <c r="S178" s="2" t="s">
        <v>73</v>
      </c>
      <c r="T178" s="2" t="s">
        <v>73</v>
      </c>
      <c r="U178" s="2">
        <v>80</v>
      </c>
      <c r="V178" s="2" t="s">
        <v>73</v>
      </c>
      <c r="W178" s="2">
        <v>24</v>
      </c>
      <c r="Y178" s="2" t="s">
        <v>98</v>
      </c>
      <c r="AB178" s="2" t="s">
        <v>116</v>
      </c>
      <c r="AE178" s="2" t="s">
        <v>189</v>
      </c>
      <c r="AF178" s="2" t="s">
        <v>87</v>
      </c>
      <c r="AG178" s="2" t="s">
        <v>603</v>
      </c>
    </row>
    <row r="179" spans="1:33" x14ac:dyDescent="0.2">
      <c r="A179" s="2">
        <v>189</v>
      </c>
      <c r="B179" s="2" t="s">
        <v>602</v>
      </c>
      <c r="C179" s="2" t="s">
        <v>278</v>
      </c>
      <c r="D179" s="2" t="s">
        <v>121</v>
      </c>
      <c r="E179" s="2" t="s">
        <v>106</v>
      </c>
      <c r="F179" s="2" t="s">
        <v>78</v>
      </c>
      <c r="G179" s="2">
        <v>0</v>
      </c>
      <c r="H179" s="2">
        <v>4</v>
      </c>
      <c r="I179" s="4">
        <v>89.316000000000003</v>
      </c>
      <c r="J179" s="4">
        <v>1.8169999999999931</v>
      </c>
      <c r="K179" s="2">
        <v>3</v>
      </c>
      <c r="L179" s="4">
        <v>96.256</v>
      </c>
      <c r="M179" s="4">
        <v>16.203000000000003</v>
      </c>
      <c r="N179" s="2">
        <v>3</v>
      </c>
      <c r="O179" s="2" t="s">
        <v>75</v>
      </c>
      <c r="P179" s="2" t="s">
        <v>616</v>
      </c>
      <c r="R179" s="2" t="s">
        <v>73</v>
      </c>
      <c r="S179" s="2" t="s">
        <v>73</v>
      </c>
      <c r="T179" s="2" t="s">
        <v>73</v>
      </c>
      <c r="U179" s="2">
        <v>80</v>
      </c>
      <c r="V179" s="2" t="s">
        <v>73</v>
      </c>
      <c r="W179" s="2">
        <v>24</v>
      </c>
      <c r="Y179" s="2" t="s">
        <v>98</v>
      </c>
      <c r="AB179" s="2" t="s">
        <v>116</v>
      </c>
      <c r="AE179" s="2" t="s">
        <v>189</v>
      </c>
      <c r="AF179" s="2" t="s">
        <v>87</v>
      </c>
      <c r="AG179" s="2" t="s">
        <v>603</v>
      </c>
    </row>
    <row r="180" spans="1:33" x14ac:dyDescent="0.2">
      <c r="A180" s="2">
        <v>190</v>
      </c>
      <c r="B180" s="2" t="s">
        <v>602</v>
      </c>
      <c r="C180" s="2" t="s">
        <v>278</v>
      </c>
      <c r="D180" s="2" t="s">
        <v>121</v>
      </c>
      <c r="E180" s="2" t="s">
        <v>106</v>
      </c>
      <c r="F180" s="2" t="s">
        <v>80</v>
      </c>
      <c r="G180" s="2">
        <v>0</v>
      </c>
      <c r="H180" s="2">
        <v>4</v>
      </c>
      <c r="I180" s="4">
        <v>6.7279999999999998</v>
      </c>
      <c r="J180" s="4">
        <v>0.62100000000000044</v>
      </c>
      <c r="K180" s="2">
        <v>3</v>
      </c>
      <c r="L180" s="4">
        <v>6.2859999999999996</v>
      </c>
      <c r="M180" s="4">
        <v>0.44700000000000006</v>
      </c>
      <c r="N180" s="2">
        <v>3</v>
      </c>
      <c r="O180" s="2" t="s">
        <v>75</v>
      </c>
      <c r="P180" s="2" t="s">
        <v>616</v>
      </c>
      <c r="R180" s="2" t="s">
        <v>73</v>
      </c>
      <c r="S180" s="2" t="s">
        <v>73</v>
      </c>
      <c r="T180" s="2" t="s">
        <v>73</v>
      </c>
      <c r="U180" s="2">
        <v>80</v>
      </c>
      <c r="V180" s="2" t="s">
        <v>73</v>
      </c>
      <c r="W180" s="2">
        <v>24</v>
      </c>
      <c r="Y180" s="2" t="s">
        <v>98</v>
      </c>
      <c r="AB180" s="2" t="s">
        <v>116</v>
      </c>
      <c r="AE180" s="2" t="s">
        <v>189</v>
      </c>
      <c r="AF180" s="2" t="s">
        <v>87</v>
      </c>
      <c r="AG180" s="2" t="s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6F45-073F-9243-9E6C-7B236F9225EF}">
  <sheetPr codeName="Sheet7"/>
  <dimension ref="A1:F1"/>
  <sheetViews>
    <sheetView workbookViewId="0"/>
  </sheetViews>
  <sheetFormatPr baseColWidth="10" defaultRowHeight="16" x14ac:dyDescent="0.2"/>
  <cols>
    <col min="1" max="1" width="11.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autoFilter ref="A1:F1" xr:uid="{E6EFD1AC-2BDC-0544-B72D-4FA234729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</vt:lpstr>
      <vt:lpstr>N</vt:lpstr>
      <vt:lpstr>Fe</vt:lpstr>
      <vt:lpstr>I</vt:lpstr>
      <vt:lpstr>T</vt:lpstr>
      <vt:lpstr>Bibliography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Tatsuro Tanioka</dc:creator>
  <cp:lastModifiedBy>Tatsuro Tanioka</cp:lastModifiedBy>
  <dcterms:created xsi:type="dcterms:W3CDTF">2020-02-24T19:39:27Z</dcterms:created>
  <dcterms:modified xsi:type="dcterms:W3CDTF">2020-03-21T14:35:13Z</dcterms:modified>
</cp:coreProperties>
</file>